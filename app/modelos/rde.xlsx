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heets/sheet1.xml" ContentType="application/vnd.openxmlformats-officedocument.spreadsheetml.chart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Gráfico1" sheetId="1" state="visible" r:id="rId1"/>
    <sheet name="RDE" sheetId="2" state="visible" r:id="rId2"/>
  </sheets>
  <definedNames>
    <definedName name="_xlnm.Print_Area" localSheetId="0">'RDE'!$B$2:$AO$49</definedName>
  </definedNames>
  <calcPr calcId="191028" fullCalcOnLoad="1"/>
</workbook>
</file>

<file path=xl/styles.xml><?xml version="1.0" encoding="utf-8"?>
<styleSheet xmlns="http://schemas.openxmlformats.org/spreadsheetml/2006/main">
  <numFmts count="4">
    <numFmt numFmtId="164" formatCode="000"/>
    <numFmt numFmtId="165" formatCode="0.0"/>
    <numFmt numFmtId="166" formatCode="00000"/>
    <numFmt numFmtId="167" formatCode="h:mm;@"/>
  </numFmts>
  <fonts count="16">
    <font>
      <name val="Arial"/>
      <sz val="10"/>
    </font>
    <font>
      <name val="Arial"/>
      <family val="2"/>
      <sz val="10"/>
    </font>
    <font>
      <name val="Arial"/>
      <family val="2"/>
      <color indexed="36"/>
      <sz val="10"/>
      <u val="single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9"/>
    </font>
    <font>
      <name val="Arial"/>
      <family val="2"/>
      <i val="1"/>
      <sz val="10"/>
    </font>
    <font>
      <name val="Arial"/>
      <family val="2"/>
      <b val="1"/>
      <sz val="9"/>
    </font>
    <font>
      <name val="Arial"/>
      <family val="2"/>
      <i val="1"/>
      <sz val="9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i val="1"/>
      <sz val="8"/>
    </font>
    <font>
      <name val="Arial"/>
      <family val="2"/>
      <b val="1"/>
      <i val="1"/>
      <sz val="9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Arial"/>
      <family val="2"/>
      <i val="1"/>
      <color rgb="FF000000"/>
      <sz val="8"/>
    </font>
  </fonts>
  <fills count="7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 tint="-0.049989318521683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 applyAlignment="1" applyProtection="1">
      <alignment vertical="top"/>
      <protection locked="0" hidden="0"/>
    </xf>
    <xf numFmtId="0" fontId="3" fillId="0" borderId="0"/>
    <xf numFmtId="0" fontId="3" fillId="0" borderId="0"/>
  </cellStyleXfs>
  <cellXfs count="148">
    <xf numFmtId="0" fontId="0" fillId="0" borderId="0" pivotButton="0" quotePrefix="0" xfId="0"/>
    <xf numFmtId="0" fontId="0" fillId="3" borderId="0" applyAlignment="1" pivotButton="0" quotePrefix="0" xfId="0">
      <alignment vertical="center"/>
    </xf>
    <xf numFmtId="0" fontId="5" fillId="3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164" fontId="1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right" vertical="center"/>
    </xf>
    <xf numFmtId="0" fontId="10" fillId="3" borderId="0" applyAlignment="1" pivotButton="0" quotePrefix="0" xfId="0">
      <alignment horizontal="center" vertical="center"/>
    </xf>
    <xf numFmtId="14" fontId="1" fillId="3" borderId="0" applyAlignment="1" pivotButton="0" quotePrefix="0" xfId="0">
      <alignment horizontal="center" vertical="center"/>
    </xf>
    <xf numFmtId="164" fontId="1" fillId="3" borderId="0" applyAlignment="1" pivotButton="0" quotePrefix="0" xfId="0">
      <alignment vertical="center" wrapText="1"/>
    </xf>
    <xf numFmtId="0" fontId="10" fillId="3" borderId="0" applyAlignment="1" pivotButton="0" quotePrefix="0" xfId="0">
      <alignment vertical="center" textRotation="255" wrapText="1"/>
    </xf>
    <xf numFmtId="0" fontId="5" fillId="3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vertical="center" wrapText="1"/>
    </xf>
    <xf numFmtId="0" fontId="10" fillId="3" borderId="0" applyAlignment="1" pivotButton="0" quotePrefix="0" xfId="0">
      <alignment vertical="center"/>
    </xf>
    <xf numFmtId="9" fontId="0" fillId="3" borderId="0" applyAlignment="1" pivotButton="0" quotePrefix="0" xfId="0">
      <alignment vertical="center"/>
    </xf>
    <xf numFmtId="0" fontId="0" fillId="3" borderId="0" pivotButton="0" quotePrefix="0" xfId="0"/>
    <xf numFmtId="1" fontId="0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164" fontId="4" fillId="3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vertical="center"/>
    </xf>
    <xf numFmtId="164" fontId="6" fillId="3" borderId="0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left" vertical="center" wrapText="1"/>
    </xf>
    <xf numFmtId="0" fontId="5" fillId="5" borderId="3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49" fontId="1" fillId="5" borderId="1" applyAlignment="1" pivotButton="0" quotePrefix="0" xfId="0">
      <alignment horizontal="center" vertical="center" wrapText="1"/>
    </xf>
    <xf numFmtId="0" fontId="7" fillId="3" borderId="5" applyAlignment="1" pivotButton="0" quotePrefix="0" xfId="0">
      <alignment horizontal="center" vertical="center" wrapText="1"/>
    </xf>
    <xf numFmtId="0" fontId="7" fillId="3" borderId="11" applyAlignment="1" pivotButton="0" quotePrefix="0" xfId="0">
      <alignment horizontal="center" vertical="center" wrapText="1"/>
    </xf>
    <xf numFmtId="0" fontId="7" fillId="3" borderId="6" applyAlignment="1" pivotButton="0" quotePrefix="0" xfId="0">
      <alignment horizontal="center" vertical="center" wrapText="1"/>
    </xf>
    <xf numFmtId="0" fontId="7" fillId="3" borderId="7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7" fillId="3" borderId="8" applyAlignment="1" pivotButton="0" quotePrefix="0" xfId="0">
      <alignment horizontal="center" vertical="center" wrapText="1"/>
    </xf>
    <xf numFmtId="0" fontId="7" fillId="3" borderId="9" applyAlignment="1" pivotButton="0" quotePrefix="0" xfId="0">
      <alignment horizontal="center" vertical="center" wrapText="1"/>
    </xf>
    <xf numFmtId="0" fontId="7" fillId="3" borderId="12" applyAlignment="1" pivotButton="0" quotePrefix="0" xfId="0">
      <alignment horizontal="center" vertical="center" wrapText="1"/>
    </xf>
    <xf numFmtId="0" fontId="7" fillId="3" borderId="10" applyAlignment="1" pivotButton="0" quotePrefix="0" xfId="0">
      <alignment horizontal="center" vertical="center" wrapText="1"/>
    </xf>
    <xf numFmtId="1" fontId="1" fillId="5" borderId="1" applyAlignment="1" pivotButton="0" quotePrefix="0" xfId="0">
      <alignment horizontal="center" vertical="center"/>
    </xf>
    <xf numFmtId="164" fontId="1" fillId="5" borderId="1" applyAlignment="1" pivotButton="0" quotePrefix="0" xfId="0">
      <alignment horizontal="center" vertical="center" wrapText="1"/>
    </xf>
    <xf numFmtId="1" fontId="1" fillId="5" borderId="4" applyAlignment="1" pivotButton="0" quotePrefix="0" xfId="0">
      <alignment horizontal="center" vertical="center"/>
    </xf>
    <xf numFmtId="1" fontId="1" fillId="5" borderId="2" applyAlignment="1" pivotButton="0" quotePrefix="0" xfId="0">
      <alignment horizontal="center" vertical="center"/>
    </xf>
    <xf numFmtId="49" fontId="4" fillId="5" borderId="1" applyAlignment="1" pivotButton="0" quotePrefix="0" xfId="0">
      <alignment horizontal="center" vertical="center" wrapText="1"/>
    </xf>
    <xf numFmtId="14" fontId="1" fillId="5" borderId="1" applyAlignment="1" pivotButton="0" quotePrefix="0" xfId="0">
      <alignment horizontal="center" vertical="center"/>
    </xf>
    <xf numFmtId="0" fontId="1" fillId="5" borderId="4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0" fontId="7" fillId="3" borderId="3" applyAlignment="1" pivotButton="0" quotePrefix="0" xfId="0">
      <alignment horizontal="center" vertical="center" wrapText="1"/>
    </xf>
    <xf numFmtId="165" fontId="1" fillId="5" borderId="1" applyAlignment="1" pivotButton="0" quotePrefix="0" xfId="0">
      <alignment horizontal="center" vertical="center"/>
    </xf>
    <xf numFmtId="49" fontId="5" fillId="3" borderId="4" applyAlignment="1" pivotButton="0" quotePrefix="0" xfId="0">
      <alignment horizontal="center" vertical="center" wrapText="1"/>
    </xf>
    <xf numFmtId="49" fontId="5" fillId="3" borderId="3" applyAlignment="1" pivotButton="0" quotePrefix="0" xfId="0">
      <alignment horizontal="center" vertical="center" wrapText="1"/>
    </xf>
    <xf numFmtId="49" fontId="5" fillId="3" borderId="2" applyAlignment="1" pivotButton="0" quotePrefix="0" xfId="0">
      <alignment horizontal="center" vertical="center" wrapText="1"/>
    </xf>
    <xf numFmtId="20" fontId="5" fillId="5" borderId="1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6" borderId="3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49" fontId="1" fillId="5" borderId="5" applyAlignment="1" pivotButton="0" quotePrefix="0" xfId="0">
      <alignment horizontal="center" vertical="center" wrapText="1"/>
    </xf>
    <xf numFmtId="49" fontId="1" fillId="5" borderId="11" applyAlignment="1" pivotButton="0" quotePrefix="0" xfId="0">
      <alignment horizontal="center" vertical="center" wrapText="1"/>
    </xf>
    <xf numFmtId="49" fontId="1" fillId="5" borderId="6" applyAlignment="1" pivotButton="0" quotePrefix="0" xfId="0">
      <alignment horizontal="center" vertical="center" wrapText="1"/>
    </xf>
    <xf numFmtId="49" fontId="1" fillId="5" borderId="9" applyAlignment="1" pivotButton="0" quotePrefix="0" xfId="0">
      <alignment horizontal="center" vertical="center" wrapText="1"/>
    </xf>
    <xf numFmtId="49" fontId="1" fillId="5" borderId="12" applyAlignment="1" pivotButton="0" quotePrefix="0" xfId="0">
      <alignment horizontal="center" vertical="center" wrapText="1"/>
    </xf>
    <xf numFmtId="49" fontId="1" fillId="5" borderId="10" applyAlignment="1" pivotButton="0" quotePrefix="0" xfId="0">
      <alignment horizontal="center" vertical="center" wrapText="1"/>
    </xf>
    <xf numFmtId="49" fontId="1" fillId="6" borderId="1" applyAlignment="1" pivotButton="0" quotePrefix="0" xfId="0">
      <alignment horizontal="center" vertical="center"/>
    </xf>
    <xf numFmtId="0" fontId="7" fillId="5" borderId="5" applyAlignment="1" pivotButton="0" quotePrefix="0" xfId="0">
      <alignment horizontal="center" vertical="center" wrapText="1"/>
    </xf>
    <xf numFmtId="0" fontId="7" fillId="5" borderId="11" applyAlignment="1" pivotButton="0" quotePrefix="0" xfId="0">
      <alignment horizontal="center" vertical="center" wrapText="1"/>
    </xf>
    <xf numFmtId="0" fontId="7" fillId="5" borderId="6" applyAlignment="1" pivotButton="0" quotePrefix="0" xfId="0">
      <alignment horizontal="center" vertical="center" wrapText="1"/>
    </xf>
    <xf numFmtId="0" fontId="7" fillId="5" borderId="9" applyAlignment="1" pivotButton="0" quotePrefix="0" xfId="0">
      <alignment horizontal="center" vertical="center" wrapText="1"/>
    </xf>
    <xf numFmtId="0" fontId="7" fillId="5" borderId="12" applyAlignment="1" pivotButton="0" quotePrefix="0" xfId="0">
      <alignment horizontal="center" vertical="center" wrapText="1"/>
    </xf>
    <xf numFmtId="0" fontId="7" fillId="5" borderId="10" applyAlignment="1" pivotButton="0" quotePrefix="0" xfId="0">
      <alignment horizontal="center" vertical="center" wrapText="1"/>
    </xf>
    <xf numFmtId="2" fontId="1" fillId="5" borderId="4" applyAlignment="1" pivotButton="0" quotePrefix="0" xfId="0">
      <alignment horizontal="center" vertical="center"/>
    </xf>
    <xf numFmtId="2" fontId="0" fillId="5" borderId="3" applyAlignment="1" pivotButton="0" quotePrefix="0" xfId="0">
      <alignment horizontal="center" vertical="center"/>
    </xf>
    <xf numFmtId="2" fontId="0" fillId="5" borderId="2" applyAlignment="1" pivotButton="0" quotePrefix="0" xfId="0">
      <alignment horizontal="center" vertical="center"/>
    </xf>
    <xf numFmtId="0" fontId="1" fillId="5" borderId="5" applyAlignment="1" pivotButton="0" quotePrefix="0" xfId="0">
      <alignment horizontal="center" vertical="center"/>
    </xf>
    <xf numFmtId="49" fontId="1" fillId="5" borderId="11" applyAlignment="1" pivotButton="0" quotePrefix="0" xfId="0">
      <alignment horizontal="center" vertical="center"/>
    </xf>
    <xf numFmtId="49" fontId="1" fillId="5" borderId="6" applyAlignment="1" pivotButton="0" quotePrefix="0" xfId="0">
      <alignment horizontal="center" vertical="center"/>
    </xf>
    <xf numFmtId="49" fontId="1" fillId="5" borderId="9" applyAlignment="1" pivotButton="0" quotePrefix="0" xfId="0">
      <alignment horizontal="center" vertical="center"/>
    </xf>
    <xf numFmtId="49" fontId="1" fillId="5" borderId="12" applyAlignment="1" pivotButton="0" quotePrefix="0" xfId="0">
      <alignment horizontal="center" vertical="center"/>
    </xf>
    <xf numFmtId="49" fontId="1" fillId="5" borderId="10" applyAlignment="1" pivotButton="0" quotePrefix="0" xfId="0">
      <alignment horizontal="center" vertical="center"/>
    </xf>
    <xf numFmtId="22" fontId="7" fillId="5" borderId="4" applyAlignment="1" pivotButton="0" quotePrefix="0" xfId="0">
      <alignment horizontal="center" vertical="center" wrapText="1"/>
    </xf>
    <xf numFmtId="166" fontId="5" fillId="3" borderId="4" applyAlignment="1" pivotButton="0" quotePrefix="0" xfId="0">
      <alignment horizontal="center" vertical="center" wrapText="1"/>
    </xf>
    <xf numFmtId="166" fontId="5" fillId="3" borderId="3" applyAlignment="1" pivotButton="0" quotePrefix="0" xfId="0">
      <alignment horizontal="center" vertical="center" wrapText="1"/>
    </xf>
    <xf numFmtId="166" fontId="5" fillId="3" borderId="2" applyAlignment="1" pivotButton="0" quotePrefix="0" xfId="0">
      <alignment horizontal="center" vertical="center" wrapText="1"/>
    </xf>
    <xf numFmtId="1" fontId="1" fillId="6" borderId="1" applyAlignment="1" pivotButton="0" quotePrefix="0" xfId="0">
      <alignment horizontal="center" vertical="center"/>
    </xf>
    <xf numFmtId="167" fontId="7" fillId="3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2" fontId="5" fillId="5" borderId="4" applyAlignment="1" pivotButton="0" quotePrefix="0" xfId="0">
      <alignment horizontal="center" vertical="center" wrapText="1"/>
    </xf>
    <xf numFmtId="2" fontId="5" fillId="5" borderId="3" applyAlignment="1" pivotButton="0" quotePrefix="0" xfId="0">
      <alignment horizontal="center" vertical="center" wrapText="1"/>
    </xf>
    <xf numFmtId="2" fontId="5" fillId="5" borderId="2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14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 wrapText="1"/>
    </xf>
    <xf numFmtId="14" fontId="9" fillId="2" borderId="1" applyAlignment="1" pivotButton="0" quotePrefix="0" xfId="0">
      <alignment horizontal="center" vertical="center"/>
    </xf>
    <xf numFmtId="0" fontId="7" fillId="5" borderId="4" applyAlignment="1" pivotButton="0" quotePrefix="0" xfId="0">
      <alignment vertical="center" wrapText="1"/>
    </xf>
    <xf numFmtId="0" fontId="7" fillId="5" borderId="3" applyAlignment="1" pivotButton="0" quotePrefix="0" xfId="0">
      <alignment vertical="center" wrapText="1"/>
    </xf>
    <xf numFmtId="0" fontId="7" fillId="5" borderId="2" applyAlignment="1" pivotButton="0" quotePrefix="0" xfId="0">
      <alignment vertical="center" wrapText="1"/>
    </xf>
    <xf numFmtId="49" fontId="7" fillId="0" borderId="1" applyAlignment="1" pivotButton="0" quotePrefix="0" xfId="0">
      <alignment horizontal="center" vertical="center"/>
    </xf>
    <xf numFmtId="4" fontId="5" fillId="5" borderId="4" applyAlignment="1" pivotButton="0" quotePrefix="0" xfId="0">
      <alignment horizontal="center" vertical="center" wrapText="1"/>
    </xf>
    <xf numFmtId="4" fontId="5" fillId="5" borderId="3" applyAlignment="1" pivotButton="0" quotePrefix="0" xfId="0">
      <alignment horizontal="center" vertical="center" wrapText="1"/>
    </xf>
    <xf numFmtId="4" fontId="5" fillId="5" borderId="2" applyAlignment="1" pivotButton="0" quotePrefix="0" xfId="0">
      <alignment horizontal="center" vertical="center" wrapText="1"/>
    </xf>
    <xf numFmtId="4" fontId="5" fillId="3" borderId="4" applyAlignment="1" pivotButton="0" quotePrefix="0" xfId="0">
      <alignment horizontal="center" vertical="center" wrapText="1"/>
    </xf>
    <xf numFmtId="4" fontId="5" fillId="3" borderId="3" applyAlignment="1" pivotButton="0" quotePrefix="0" xfId="0">
      <alignment horizontal="center" vertical="center" wrapText="1"/>
    </xf>
    <xf numFmtId="4" fontId="5" fillId="3" borderId="2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0" fontId="0" fillId="0" borderId="10" pivotButton="0" quotePrefix="0" xfId="0"/>
    <xf numFmtId="0" fontId="1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 wrapText="1"/>
    </xf>
    <xf numFmtId="2" fontId="1" fillId="5" borderId="1" applyAlignment="1" pivotButton="0" quotePrefix="0" xfId="0">
      <alignment horizontal="center" vertical="center"/>
    </xf>
    <xf numFmtId="22" fontId="7" fillId="5" borderId="1" applyAlignment="1" pivotButton="0" quotePrefix="0" xfId="0">
      <alignment horizontal="center" vertical="center" wrapText="1"/>
    </xf>
    <xf numFmtId="166" fontId="5" fillId="3" borderId="1" applyAlignment="1" pivotButton="0" quotePrefix="0" xfId="0">
      <alignment horizontal="center" vertical="center" wrapText="1"/>
    </xf>
    <xf numFmtId="165" fontId="1" fillId="5" borderId="1" applyAlignment="1" pivotButton="0" quotePrefix="0" xfId="0">
      <alignment horizontal="center" vertical="center"/>
    </xf>
    <xf numFmtId="49" fontId="5" fillId="3" borderId="1" applyAlignment="1" pivotButton="0" quotePrefix="0" xfId="0">
      <alignment horizontal="center" vertical="center" wrapText="1"/>
    </xf>
    <xf numFmtId="4" fontId="5" fillId="5" borderId="1" applyAlignment="1" pivotButton="0" quotePrefix="0" xfId="0">
      <alignment horizontal="center" vertical="center" wrapText="1"/>
    </xf>
    <xf numFmtId="4" fontId="5" fillId="3" borderId="1" applyAlignment="1" pivotButton="0" quotePrefix="0" xfId="0">
      <alignment horizontal="center" vertical="center" wrapText="1"/>
    </xf>
    <xf numFmtId="2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vertical="center" wrapText="1"/>
    </xf>
  </cellXfs>
  <cellStyles count="4">
    <cellStyle name="Normal" xfId="0" builtinId="0"/>
    <cellStyle name="Hyperlink seguido" xfId="1"/>
    <cellStyle name="Normal 2" xfId="2"/>
    <cellStyle name="Normal 2 2" xf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chartsheet" Target="/xl/chartsheets/sheet1.xml" Id="rId1" /><Relationship Type="http://schemas.openxmlformats.org/officeDocument/2006/relationships/worksheet" Target="/xl/worksheets/sheet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title>
    <plotArea>
      <layout/>
      <barChart>
        <barDir val="col"/>
        <grouping val="clustered"/>
        <varyColors val="0"/>
        <ser>
          <idx val="0"/>
          <order val="0"/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multiLvlStrRef>
              <multiLvlStrCache>
                <lvl>
                  <pt idx="1">
                    <v>Total ROB</v>
                  </pt>
                  <pt idx="2">
                    <v>473,34</v>
                  </pt>
                  <pt idx="3">
                    <v>67,47</v>
                  </pt>
                  <pt idx="4">
                    <v>223,00</v>
                  </pt>
                </lvl>
                <lvl>
                  <pt idx="1">
                    <v>Recebido
Received</v>
                  </pt>
                  <pt idx="4">
                    <v>80</v>
                  </pt>
                </lvl>
                <lvl>
                  <pt idx="1">
                    <v>Consumido 
Consumption</v>
                  </pt>
                  <pt idx="2">
                    <v>4,53</v>
                  </pt>
                  <pt idx="3">
                    <v>0,09</v>
                  </pt>
                  <pt idx="4">
                    <v>7,00</v>
                  </pt>
                </lvl>
                <lvl>
                  <pt idx="1">
                    <v>Qtd anterior
Previous Qty</v>
                  </pt>
                  <pt idx="2">
                    <v>477,87</v>
                  </pt>
                  <pt idx="3">
                    <v>67,56</v>
                  </pt>
                  <pt idx="4">
                    <v>150,00</v>
                  </pt>
                </lvl>
                <lvl>
                  <pt idx="0">
                    <v>ESTOQUES DE BORDO (em M3)
VESSEL'S STOCK (in M3)</v>
                  </pt>
                  <pt idx="1">
                    <v>Produto
Product</v>
                  </pt>
                  <pt idx="2">
                    <v>VLSFO</v>
                  </pt>
                  <pt idx="3">
                    <v>MGO</v>
                  </pt>
                  <pt idx="4">
                    <v>ÁGUA</v>
                  </pt>
                </lvl>
              </multiLvlStrCache>
              <f>RDE!$C$35:$T$43</f>
            </multiLvlStrRef>
          </cat>
          <val>
            <numRef>
              <f>RDE!$U$35:$U$43</f>
              <numCache>
                <formatCode>General</formatCode>
                <ptCount val="9"/>
              </numCache>
            </numRef>
          </val>
        </ser>
        <ser>
          <idx val="1"/>
          <order val="1"/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multiLvlStrRef>
              <multiLvlStrCache>
                <lvl>
                  <pt idx="1">
                    <v>Total ROB</v>
                  </pt>
                  <pt idx="2">
                    <v>473,34</v>
                  </pt>
                  <pt idx="3">
                    <v>67,47</v>
                  </pt>
                  <pt idx="4">
                    <v>223,00</v>
                  </pt>
                </lvl>
                <lvl>
                  <pt idx="1">
                    <v>Recebido
Received</v>
                  </pt>
                  <pt idx="4">
                    <v>80</v>
                  </pt>
                </lvl>
                <lvl>
                  <pt idx="1">
                    <v>Consumido 
Consumption</v>
                  </pt>
                  <pt idx="2">
                    <v>4,53</v>
                  </pt>
                  <pt idx="3">
                    <v>0,09</v>
                  </pt>
                  <pt idx="4">
                    <v>7,00</v>
                  </pt>
                </lvl>
                <lvl>
                  <pt idx="1">
                    <v>Qtd anterior
Previous Qty</v>
                  </pt>
                  <pt idx="2">
                    <v>477,87</v>
                  </pt>
                  <pt idx="3">
                    <v>67,56</v>
                  </pt>
                  <pt idx="4">
                    <v>150,00</v>
                  </pt>
                </lvl>
                <lvl>
                  <pt idx="0">
                    <v>ESTOQUES DE BORDO (em M3)
VESSEL'S STOCK (in M3)</v>
                  </pt>
                  <pt idx="1">
                    <v>Produto
Product</v>
                  </pt>
                  <pt idx="2">
                    <v>VLSFO</v>
                  </pt>
                  <pt idx="3">
                    <v>MGO</v>
                  </pt>
                  <pt idx="4">
                    <v>ÁGUA</v>
                  </pt>
                </lvl>
              </multiLvlStrCache>
              <f>RDE!$C$35:$T$43</f>
            </multiLvlStrRef>
          </cat>
          <val>
            <numRef>
              <f>RDE!$V$35:$V$43</f>
              <numCache>
                <formatCode>General</formatCode>
                <ptCount val="9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548376416"/>
        <axId val="548376896"/>
      </barChart>
      <catAx>
        <axId val="5483764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548376896"/>
        <crosses val="autoZero"/>
        <auto val="1"/>
        <lblAlgn val="ctr"/>
        <lblOffset val="100"/>
        <noMultiLvlLbl val="0"/>
      </catAx>
      <valAx>
        <axId val="54837689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548376416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heets/_rels/sheet1.xml.rels><Relationships xmlns="http://schemas.openxmlformats.org/package/2006/relationships"><Relationship Type="http://schemas.openxmlformats.org/officeDocument/2006/relationships/drawing" Target="/xl/drawings/drawing2.xml" Id="rId1" /></Relationships>
</file>

<file path=xl/chartsheets/sheet1.xml><?xml version="1.0" encoding="utf-8"?>
<chartsheet xmlns:r="http://schemas.openxmlformats.org/officeDocument/2006/relationships" xmlns="http://schemas.openxmlformats.org/spreadsheetml/2006/main">
  <sheetPr/>
  <sheetViews>
    <sheetView zoomScale="73" workbookViewId="0" zoomToFit="1"/>
  </sheetViews>
  <pageMargins left="0.511811024" right="0.511811024" top="0.787401575" bottom="0.787401575" header="0.31496062" footer="0.31496062"/>
  <drawing r:id="rId1"/>
</chartsheet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136204</colOff>
      <row>2</row>
      <rowOff>135774</rowOff>
    </from>
    <to>
      <col>5</col>
      <colOff>98570</colOff>
      <row>4</row>
      <rowOff>155864</rowOff>
    </to>
    <pic>
      <nvPicPr>
        <cNvPr id="1116" name="Imagem 1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309386" y="308956"/>
          <a:ext cx="580105" cy="574272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absolute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3:AR49"/>
  <sheetViews>
    <sheetView tabSelected="1" view="pageBreakPreview" topLeftCell="A18" zoomScale="145" zoomScaleNormal="145" zoomScaleSheetLayoutView="145" workbookViewId="0">
      <selection activeCell="X20" sqref="X20:AE20"/>
    </sheetView>
  </sheetViews>
  <sheetFormatPr baseColWidth="8" defaultColWidth="0" defaultRowHeight="12.75" zeroHeight="1"/>
  <cols>
    <col width="1.5703125" customWidth="1" style="1" min="1" max="1"/>
    <col width="0.85546875" customWidth="1" style="1" min="2" max="2"/>
    <col width="3.140625" customWidth="1" style="1" min="3" max="17"/>
    <col width="3.85546875" customWidth="1" style="1" min="18" max="18"/>
    <col width="3.140625" customWidth="1" style="1" min="19" max="40"/>
    <col width="0.85546875" customWidth="1" style="1" min="41" max="41"/>
    <col width="1.5703125" customWidth="1" style="1" min="42" max="42"/>
    <col hidden="1" width="8.85546875" customWidth="1" style="1" min="43" max="16384"/>
  </cols>
  <sheetData>
    <row r="1" ht="9" customHeight="1"/>
    <row r="2" ht="4.5" customHeight="1"/>
    <row r="3" ht="21.75" customHeight="1">
      <c r="B3" s="109" t="n"/>
      <c r="C3" s="108" t="n"/>
      <c r="D3" s="127" t="n"/>
      <c r="E3" s="127" t="n"/>
      <c r="F3" s="128" t="n"/>
      <c r="G3" s="112" t="inlineStr">
        <is>
          <t xml:space="preserve">RELATÓRIO DIÁRIO DE EMBARCAÇÃO
VESSEL DAILY REPORT </t>
        </is>
      </c>
      <c r="H3" s="127" t="n"/>
      <c r="I3" s="127" t="n"/>
      <c r="J3" s="127" t="n"/>
      <c r="K3" s="127" t="n"/>
      <c r="L3" s="127" t="n"/>
      <c r="M3" s="127" t="n"/>
      <c r="N3" s="127" t="n"/>
      <c r="O3" s="127" t="n"/>
      <c r="P3" s="127" t="n"/>
      <c r="Q3" s="127" t="n"/>
      <c r="R3" s="127" t="n"/>
      <c r="S3" s="127" t="n"/>
      <c r="T3" s="127" t="n"/>
      <c r="U3" s="127" t="n"/>
      <c r="V3" s="127" t="n"/>
      <c r="W3" s="127" t="n"/>
      <c r="X3" s="127" t="n"/>
      <c r="Y3" s="127" t="n"/>
      <c r="Z3" s="127" t="n"/>
      <c r="AA3" s="127" t="n"/>
      <c r="AB3" s="127" t="n"/>
      <c r="AC3" s="127" t="n"/>
      <c r="AD3" s="128" t="n"/>
      <c r="AE3" s="113" t="inlineStr">
        <is>
          <t>Form:</t>
        </is>
      </c>
      <c r="AF3" s="129" t="n"/>
      <c r="AG3" s="129" t="n"/>
      <c r="AH3" s="130" t="n"/>
      <c r="AI3" s="114" t="inlineStr">
        <is>
          <t>GFS1201</t>
        </is>
      </c>
      <c r="AJ3" s="129" t="n"/>
      <c r="AK3" s="129" t="n"/>
      <c r="AL3" s="129" t="n"/>
      <c r="AM3" s="129" t="n"/>
      <c r="AN3" s="130" t="n"/>
      <c r="AO3" s="8" t="n"/>
    </row>
    <row r="4" ht="21.75" customHeight="1">
      <c r="B4" s="109" t="n"/>
      <c r="C4" s="131" t="n"/>
      <c r="F4" s="132" t="n"/>
      <c r="G4" s="131" t="n"/>
      <c r="AD4" s="132" t="n"/>
      <c r="AE4" s="115" t="inlineStr">
        <is>
          <t>Revisão / Review</t>
        </is>
      </c>
      <c r="AF4" s="129" t="n"/>
      <c r="AG4" s="129" t="n"/>
      <c r="AH4" s="130" t="n"/>
      <c r="AI4" s="114" t="n">
        <v>0</v>
      </c>
      <c r="AJ4" s="129" t="n"/>
      <c r="AK4" s="129" t="n"/>
      <c r="AL4" s="129" t="n"/>
      <c r="AM4" s="129" t="n"/>
      <c r="AN4" s="130" t="n"/>
      <c r="AO4" s="8" t="n"/>
    </row>
    <row r="5" ht="21.75" customHeight="1">
      <c r="B5" s="109" t="n"/>
      <c r="C5" s="133" t="n"/>
      <c r="D5" s="134" t="n"/>
      <c r="E5" s="134" t="n"/>
      <c r="F5" s="135" t="n"/>
      <c r="G5" s="133" t="n"/>
      <c r="H5" s="134" t="n"/>
      <c r="I5" s="134" t="n"/>
      <c r="J5" s="134" t="n"/>
      <c r="K5" s="134" t="n"/>
      <c r="L5" s="134" t="n"/>
      <c r="M5" s="134" t="n"/>
      <c r="N5" s="134" t="n"/>
      <c r="O5" s="134" t="n"/>
      <c r="P5" s="134" t="n"/>
      <c r="Q5" s="134" t="n"/>
      <c r="R5" s="134" t="n"/>
      <c r="S5" s="134" t="n"/>
      <c r="T5" s="134" t="n"/>
      <c r="U5" s="134" t="n"/>
      <c r="V5" s="134" t="n"/>
      <c r="W5" s="134" t="n"/>
      <c r="X5" s="134" t="n"/>
      <c r="Y5" s="134" t="n"/>
      <c r="Z5" s="134" t="n"/>
      <c r="AA5" s="134" t="n"/>
      <c r="AB5" s="134" t="n"/>
      <c r="AC5" s="134" t="n"/>
      <c r="AD5" s="135" t="n"/>
      <c r="AE5" s="115" t="inlineStr">
        <is>
          <t>Data Revisão/
 Review date</t>
        </is>
      </c>
      <c r="AF5" s="129" t="n"/>
      <c r="AG5" s="129" t="n"/>
      <c r="AH5" s="130" t="n"/>
      <c r="AI5" s="116" t="n">
        <v>45993</v>
      </c>
      <c r="AJ5" s="129" t="n"/>
      <c r="AK5" s="129" t="n"/>
      <c r="AL5" s="129" t="n"/>
      <c r="AM5" s="129" t="n"/>
      <c r="AN5" s="130" t="n"/>
      <c r="AO5" s="8" t="n"/>
    </row>
    <row r="6" ht="5.1" customHeight="1">
      <c r="B6" s="109" t="n"/>
      <c r="C6" s="109" t="n"/>
      <c r="AO6" s="109" t="n"/>
    </row>
    <row r="7" ht="30" customHeight="1">
      <c r="B7" s="6" t="n"/>
      <c r="C7" s="40" t="inlineStr">
        <is>
          <t>INSTRUÇÕES DE PREENCHIMENTO
FILLING INSTRUCTIONS</t>
        </is>
      </c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29" t="n"/>
      <c r="U7" s="129" t="n"/>
      <c r="V7" s="129" t="n"/>
      <c r="W7" s="129" t="n"/>
      <c r="X7" s="129" t="n"/>
      <c r="Y7" s="129" t="n"/>
      <c r="Z7" s="129" t="n"/>
      <c r="AA7" s="129" t="n"/>
      <c r="AB7" s="129" t="n"/>
      <c r="AC7" s="129" t="n"/>
      <c r="AD7" s="129" t="n"/>
      <c r="AE7" s="129" t="n"/>
      <c r="AF7" s="129" t="n"/>
      <c r="AG7" s="129" t="n"/>
      <c r="AH7" s="129" t="n"/>
      <c r="AI7" s="129" t="n"/>
      <c r="AJ7" s="129" t="n"/>
      <c r="AK7" s="129" t="n"/>
      <c r="AL7" s="129" t="n"/>
      <c r="AM7" s="129" t="n"/>
      <c r="AN7" s="130" t="n"/>
      <c r="AO7" s="9" t="n"/>
    </row>
    <row r="8" ht="20.25" customHeight="1">
      <c r="B8" s="6" t="n"/>
      <c r="C8" s="110" t="inlineStr">
        <is>
          <t>1. Preencha os campos destacados em cinza com informações precisas e corretas / Fill out the fields highlighted in gray with accurate and correct information;
2. Enviar este relatório diariamente ao meio-dia (12 horas) para os e-mails rde@posidoniashipping.com e ops.dry@posidoniashipping.com/ This report must be sent daily at noon (12:00) to the emails rde@posidoniashipping.com and ops.dry@posidoniashipping.com</t>
        </is>
      </c>
      <c r="D8" s="127" t="n"/>
      <c r="E8" s="127" t="n"/>
      <c r="F8" s="127" t="n"/>
      <c r="G8" s="127" t="n"/>
      <c r="H8" s="127" t="n"/>
      <c r="I8" s="127" t="n"/>
      <c r="J8" s="127" t="n"/>
      <c r="K8" s="127" t="n"/>
      <c r="L8" s="127" t="n"/>
      <c r="M8" s="127" t="n"/>
      <c r="N8" s="127" t="n"/>
      <c r="O8" s="127" t="n"/>
      <c r="P8" s="127" t="n"/>
      <c r="Q8" s="127" t="n"/>
      <c r="R8" s="127" t="n"/>
      <c r="S8" s="127" t="n"/>
      <c r="T8" s="127" t="n"/>
      <c r="U8" s="127" t="n"/>
      <c r="V8" s="127" t="n"/>
      <c r="W8" s="127" t="n"/>
      <c r="X8" s="127" t="n"/>
      <c r="Y8" s="127" t="n"/>
      <c r="Z8" s="127" t="n"/>
      <c r="AA8" s="127" t="n"/>
      <c r="AB8" s="127" t="n"/>
      <c r="AC8" s="127" t="n"/>
      <c r="AD8" s="127" t="n"/>
      <c r="AE8" s="127" t="n"/>
      <c r="AF8" s="127" t="n"/>
      <c r="AG8" s="127" t="n"/>
      <c r="AH8" s="127" t="n"/>
      <c r="AI8" s="127" t="n"/>
      <c r="AJ8" s="127" t="n"/>
      <c r="AK8" s="127" t="n"/>
      <c r="AL8" s="127" t="n"/>
      <c r="AM8" s="127" t="n"/>
      <c r="AN8" s="128" t="n"/>
      <c r="AO8" s="9" t="n"/>
    </row>
    <row r="9" ht="20.25" customHeight="1">
      <c r="B9" s="6" t="n"/>
      <c r="C9" s="133" t="n"/>
      <c r="D9" s="134" t="n"/>
      <c r="E9" s="134" t="n"/>
      <c r="F9" s="134" t="n"/>
      <c r="G9" s="134" t="n"/>
      <c r="H9" s="134" t="n"/>
      <c r="I9" s="134" t="n"/>
      <c r="J9" s="134" t="n"/>
      <c r="K9" s="134" t="n"/>
      <c r="L9" s="134" t="n"/>
      <c r="M9" s="134" t="n"/>
      <c r="N9" s="134" t="n"/>
      <c r="O9" s="134" t="n"/>
      <c r="P9" s="134" t="n"/>
      <c r="Q9" s="134" t="n"/>
      <c r="R9" s="134" t="n"/>
      <c r="S9" s="134" t="n"/>
      <c r="T9" s="134" t="n"/>
      <c r="U9" s="134" t="n"/>
      <c r="V9" s="134" t="n"/>
      <c r="W9" s="134" t="n"/>
      <c r="X9" s="134" t="n"/>
      <c r="Y9" s="134" t="n"/>
      <c r="Z9" s="134" t="n"/>
      <c r="AA9" s="134" t="n"/>
      <c r="AB9" s="134" t="n"/>
      <c r="AC9" s="134" t="n"/>
      <c r="AD9" s="134" t="n"/>
      <c r="AE9" s="134" t="n"/>
      <c r="AF9" s="134" t="n"/>
      <c r="AG9" s="134" t="n"/>
      <c r="AH9" s="134" t="n"/>
      <c r="AI9" s="134" t="n"/>
      <c r="AJ9" s="134" t="n"/>
      <c r="AK9" s="134" t="n"/>
      <c r="AL9" s="134" t="n"/>
      <c r="AM9" s="134" t="n"/>
      <c r="AN9" s="135" t="n"/>
      <c r="AO9" s="9" t="n"/>
    </row>
    <row r="10" ht="5.1" customHeight="1">
      <c r="B10" s="6" t="n"/>
      <c r="C10" s="6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</row>
    <row r="11" ht="30" customHeight="1">
      <c r="B11" s="6" t="n"/>
      <c r="C11" s="40" t="inlineStr">
        <is>
          <t>CAMPOS ABAIXO SÃO PARA IDENTIFICAÇÃO DA EMBARCAÇÃO E DO COMANDANTE
FIELDS BELOW ARE TO IDENTIFY VESSEL AND MASTER</t>
        </is>
      </c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129" t="n"/>
      <c r="U11" s="129" t="n"/>
      <c r="V11" s="129" t="n"/>
      <c r="W11" s="129" t="n"/>
      <c r="X11" s="129" t="n"/>
      <c r="Y11" s="129" t="n"/>
      <c r="Z11" s="129" t="n"/>
      <c r="AA11" s="129" t="n"/>
      <c r="AB11" s="129" t="n"/>
      <c r="AC11" s="129" t="n"/>
      <c r="AD11" s="129" t="n"/>
      <c r="AE11" s="129" t="n"/>
      <c r="AF11" s="129" t="n"/>
      <c r="AG11" s="129" t="n"/>
      <c r="AH11" s="129" t="n"/>
      <c r="AI11" s="129" t="n"/>
      <c r="AJ11" s="129" t="n"/>
      <c r="AK11" s="129" t="n"/>
      <c r="AL11" s="129" t="n"/>
      <c r="AM11" s="129" t="n"/>
      <c r="AN11" s="130" t="n"/>
      <c r="AO11" s="9" t="n"/>
    </row>
    <row r="12" ht="15" customHeight="1">
      <c r="B12" s="50" t="n"/>
      <c r="C12" s="39" t="inlineStr">
        <is>
          <t>Embarcação
Vessel</t>
        </is>
      </c>
      <c r="D12" s="127" t="n"/>
      <c r="E12" s="127" t="n"/>
      <c r="F12" s="128" t="n"/>
      <c r="G12" s="45" t="n"/>
      <c r="H12" s="127" t="n"/>
      <c r="I12" s="127" t="n"/>
      <c r="J12" s="127" t="n"/>
      <c r="K12" s="127" t="n"/>
      <c r="L12" s="127" t="n"/>
      <c r="M12" s="128" t="n"/>
      <c r="N12" s="39" t="inlineStr">
        <is>
          <t>IMO</t>
        </is>
      </c>
      <c r="O12" s="128" t="n"/>
      <c r="P12" s="136" t="n"/>
      <c r="Q12" s="127" t="n"/>
      <c r="R12" s="127" t="n"/>
      <c r="S12" s="128" t="n"/>
      <c r="T12" s="63" t="inlineStr">
        <is>
          <t>Data
Date</t>
        </is>
      </c>
      <c r="U12" s="127" t="n"/>
      <c r="V12" s="128" t="n"/>
      <c r="W12" s="60" t="n"/>
      <c r="X12" s="127" t="n"/>
      <c r="Y12" s="127" t="n"/>
      <c r="Z12" s="127" t="n"/>
      <c r="AA12" s="128" t="n"/>
      <c r="AB12" s="39" t="n"/>
      <c r="AC12" s="127" t="n"/>
      <c r="AD12" s="127" t="n"/>
      <c r="AE12" s="127" t="n"/>
      <c r="AF12" s="127" t="n"/>
      <c r="AG12" s="128" t="n"/>
      <c r="AH12" s="39" t="inlineStr">
        <is>
          <t>Cliente / Client Nr.</t>
        </is>
      </c>
      <c r="AI12" s="129" t="n"/>
      <c r="AJ12" s="129" t="n"/>
      <c r="AK12" s="129" t="n"/>
      <c r="AL12" s="129" t="n"/>
      <c r="AM12" s="129" t="n"/>
      <c r="AN12" s="130" t="n"/>
      <c r="AO12" s="109" t="n"/>
    </row>
    <row r="13" ht="15" customHeight="1">
      <c r="B13" s="50" t="n"/>
      <c r="C13" s="133" t="n"/>
      <c r="D13" s="134" t="n"/>
      <c r="E13" s="134" t="n"/>
      <c r="F13" s="135" t="n"/>
      <c r="G13" s="133" t="n"/>
      <c r="H13" s="134" t="n"/>
      <c r="I13" s="134" t="n"/>
      <c r="J13" s="134" t="n"/>
      <c r="K13" s="134" t="n"/>
      <c r="L13" s="134" t="n"/>
      <c r="M13" s="135" t="n"/>
      <c r="N13" s="133" t="n"/>
      <c r="O13" s="135" t="n"/>
      <c r="P13" s="133" t="n"/>
      <c r="Q13" s="134" t="n"/>
      <c r="R13" s="134" t="n"/>
      <c r="S13" s="135" t="n"/>
      <c r="T13" s="133" t="n"/>
      <c r="U13" s="134" t="n"/>
      <c r="V13" s="135" t="n"/>
      <c r="W13" s="133" t="n"/>
      <c r="X13" s="134" t="n"/>
      <c r="Y13" s="134" t="n"/>
      <c r="Z13" s="134" t="n"/>
      <c r="AA13" s="135" t="n"/>
      <c r="AB13" s="131" t="n"/>
      <c r="AG13" s="132" t="n"/>
      <c r="AH13" s="137" t="n"/>
      <c r="AI13" s="129" t="n"/>
      <c r="AJ13" s="129" t="n"/>
      <c r="AK13" s="129" t="n"/>
      <c r="AL13" s="129" t="n"/>
      <c r="AM13" s="129" t="n"/>
      <c r="AN13" s="130" t="n"/>
      <c r="AO13" s="109" t="n"/>
    </row>
    <row r="14" ht="15" customHeight="1">
      <c r="B14" s="50" t="n"/>
      <c r="C14" s="39" t="inlineStr">
        <is>
          <t>Comandante
Master</t>
        </is>
      </c>
      <c r="D14" s="127" t="n"/>
      <c r="E14" s="127" t="n"/>
      <c r="F14" s="128" t="n"/>
      <c r="G14" s="59" t="n"/>
      <c r="H14" s="127" t="n"/>
      <c r="I14" s="127" t="n"/>
      <c r="J14" s="127" t="n"/>
      <c r="K14" s="127" t="n"/>
      <c r="L14" s="127" t="n"/>
      <c r="M14" s="127" t="n"/>
      <c r="N14" s="127" t="n"/>
      <c r="O14" s="128" t="n"/>
      <c r="P14" s="39" t="inlineStr">
        <is>
          <t>Nacionalidade
Nationality</t>
        </is>
      </c>
      <c r="Q14" s="127" t="n"/>
      <c r="R14" s="127" t="n"/>
      <c r="S14" s="128" t="n"/>
      <c r="T14" s="45" t="n"/>
      <c r="U14" s="127" t="n"/>
      <c r="V14" s="127" t="n"/>
      <c r="W14" s="127" t="n"/>
      <c r="X14" s="127" t="n"/>
      <c r="Y14" s="127" t="n"/>
      <c r="Z14" s="127" t="n"/>
      <c r="AA14" s="128" t="n"/>
      <c r="AB14" s="131" t="n"/>
      <c r="AG14" s="132" t="n"/>
      <c r="AH14" s="120" t="inlineStr">
        <is>
          <t>Posidonia Nr.</t>
        </is>
      </c>
      <c r="AI14" s="129" t="n"/>
      <c r="AJ14" s="129" t="n"/>
      <c r="AK14" s="129" t="n"/>
      <c r="AL14" s="129" t="n"/>
      <c r="AM14" s="129" t="n"/>
      <c r="AN14" s="130" t="n"/>
      <c r="AO14" s="4" t="n"/>
    </row>
    <row r="15" ht="15" customHeight="1">
      <c r="B15" s="50" t="n"/>
      <c r="C15" s="133" t="n"/>
      <c r="D15" s="134" t="n"/>
      <c r="E15" s="134" t="n"/>
      <c r="F15" s="135" t="n"/>
      <c r="G15" s="133" t="n"/>
      <c r="H15" s="134" t="n"/>
      <c r="I15" s="134" t="n"/>
      <c r="J15" s="134" t="n"/>
      <c r="K15" s="134" t="n"/>
      <c r="L15" s="134" t="n"/>
      <c r="M15" s="134" t="n"/>
      <c r="N15" s="134" t="n"/>
      <c r="O15" s="135" t="n"/>
      <c r="P15" s="133" t="n"/>
      <c r="Q15" s="134" t="n"/>
      <c r="R15" s="134" t="n"/>
      <c r="S15" s="135" t="n"/>
      <c r="T15" s="133" t="n"/>
      <c r="U15" s="134" t="n"/>
      <c r="V15" s="134" t="n"/>
      <c r="W15" s="134" t="n"/>
      <c r="X15" s="134" t="n"/>
      <c r="Y15" s="134" t="n"/>
      <c r="Z15" s="134" t="n"/>
      <c r="AA15" s="135" t="n"/>
      <c r="AB15" s="133" t="n"/>
      <c r="AC15" s="134" t="n"/>
      <c r="AD15" s="134" t="n"/>
      <c r="AE15" s="134" t="n"/>
      <c r="AF15" s="134" t="n"/>
      <c r="AG15" s="135" t="n"/>
      <c r="AH15" s="81" t="n"/>
      <c r="AI15" s="129" t="n"/>
      <c r="AJ15" s="129" t="n"/>
      <c r="AK15" s="129" t="n"/>
      <c r="AL15" s="129" t="n"/>
      <c r="AM15" s="129" t="n"/>
      <c r="AN15" s="130" t="n"/>
      <c r="AO15" s="4" t="n"/>
    </row>
    <row r="16" ht="4.5" customHeight="1"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</row>
    <row r="17" ht="30" customHeight="1">
      <c r="B17" s="6" t="n"/>
      <c r="C17" s="40" t="inlineStr">
        <is>
          <t>DETALHES DA VIAGEM
VOYAGE DETAILS</t>
        </is>
      </c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29" t="n"/>
      <c r="U17" s="129" t="n"/>
      <c r="V17" s="129" t="n"/>
      <c r="W17" s="129" t="n"/>
      <c r="X17" s="129" t="n"/>
      <c r="Y17" s="129" t="n"/>
      <c r="Z17" s="129" t="n"/>
      <c r="AA17" s="129" t="n"/>
      <c r="AB17" s="129" t="n"/>
      <c r="AC17" s="129" t="n"/>
      <c r="AD17" s="129" t="n"/>
      <c r="AE17" s="129" t="n"/>
      <c r="AF17" s="129" t="n"/>
      <c r="AG17" s="129" t="n"/>
      <c r="AH17" s="129" t="n"/>
      <c r="AI17" s="129" t="n"/>
      <c r="AJ17" s="129" t="n"/>
      <c r="AK17" s="129" t="n"/>
      <c r="AL17" s="129" t="n"/>
      <c r="AM17" s="129" t="n"/>
      <c r="AN17" s="130" t="n"/>
      <c r="AO17" s="9" t="n"/>
    </row>
    <row r="18" ht="25.35" customHeight="1">
      <c r="B18" s="50" t="n"/>
      <c r="C18" s="39" t="inlineStr">
        <is>
          <t>Localização Atual
Actual Location</t>
        </is>
      </c>
      <c r="D18" s="127" t="n"/>
      <c r="E18" s="127" t="n"/>
      <c r="F18" s="127" t="n"/>
      <c r="G18" s="128" t="n"/>
      <c r="H18" s="26" t="n"/>
      <c r="I18" s="127" t="n"/>
      <c r="J18" s="127" t="n"/>
      <c r="K18" s="127" t="n"/>
      <c r="L18" s="127" t="n"/>
      <c r="M18" s="127" t="n"/>
      <c r="N18" s="127" t="n"/>
      <c r="O18" s="128" t="n"/>
      <c r="P18" s="63" t="inlineStr">
        <is>
          <t>Posição à 12:00
Position at 12:00</t>
        </is>
      </c>
      <c r="Q18" s="127" t="n"/>
      <c r="R18" s="127" t="n"/>
      <c r="S18" s="127" t="n"/>
      <c r="T18" s="128" t="n"/>
      <c r="U18" s="39" t="inlineStr">
        <is>
          <t>Lat</t>
        </is>
      </c>
      <c r="V18" s="129" t="n"/>
      <c r="W18" s="130" t="n"/>
      <c r="X18" s="60" t="n"/>
      <c r="Y18" s="129" t="n"/>
      <c r="Z18" s="129" t="n"/>
      <c r="AA18" s="129" t="n"/>
      <c r="AB18" s="130" t="n"/>
      <c r="AC18" s="39" t="inlineStr">
        <is>
          <t>Calado (mts)
Draft (mts)</t>
        </is>
      </c>
      <c r="AD18" s="127" t="n"/>
      <c r="AE18" s="127" t="n"/>
      <c r="AF18" s="127" t="n"/>
      <c r="AG18" s="128" t="n"/>
      <c r="AH18" s="39" t="inlineStr">
        <is>
          <t>Proa / Fwd</t>
        </is>
      </c>
      <c r="AI18" s="129" t="n"/>
      <c r="AJ18" s="130" t="n"/>
      <c r="AK18" s="138" t="n"/>
      <c r="AL18" s="129" t="n"/>
      <c r="AM18" s="129" t="n"/>
      <c r="AN18" s="130" t="n"/>
      <c r="AO18" s="109" t="n"/>
    </row>
    <row r="19" ht="22.7" customHeight="1">
      <c r="B19" s="50" t="n"/>
      <c r="C19" s="133" t="n"/>
      <c r="D19" s="134" t="n"/>
      <c r="E19" s="134" t="n"/>
      <c r="F19" s="134" t="n"/>
      <c r="G19" s="135" t="n"/>
      <c r="H19" s="133" t="n"/>
      <c r="I19" s="134" t="n"/>
      <c r="J19" s="134" t="n"/>
      <c r="K19" s="134" t="n"/>
      <c r="L19" s="134" t="n"/>
      <c r="M19" s="134" t="n"/>
      <c r="N19" s="134" t="n"/>
      <c r="O19" s="135" t="n"/>
      <c r="P19" s="133" t="n"/>
      <c r="Q19" s="134" t="n"/>
      <c r="R19" s="134" t="n"/>
      <c r="S19" s="134" t="n"/>
      <c r="T19" s="135" t="n"/>
      <c r="U19" s="39" t="inlineStr">
        <is>
          <t>Long</t>
        </is>
      </c>
      <c r="V19" s="129" t="n"/>
      <c r="W19" s="130" t="n"/>
      <c r="X19" s="60" t="n"/>
      <c r="Y19" s="129" t="n"/>
      <c r="Z19" s="129" t="n"/>
      <c r="AA19" s="129" t="n"/>
      <c r="AB19" s="130" t="n"/>
      <c r="AC19" s="133" t="n"/>
      <c r="AD19" s="134" t="n"/>
      <c r="AE19" s="134" t="n"/>
      <c r="AF19" s="134" t="n"/>
      <c r="AG19" s="135" t="n"/>
      <c r="AH19" s="39" t="inlineStr">
        <is>
          <t>Popa / Aft</t>
        </is>
      </c>
      <c r="AI19" s="129" t="n"/>
      <c r="AJ19" s="130" t="n"/>
      <c r="AK19" s="138" t="n"/>
      <c r="AL19" s="129" t="n"/>
      <c r="AM19" s="129" t="n"/>
      <c r="AN19" s="130" t="n"/>
      <c r="AO19" s="109" t="n"/>
    </row>
    <row r="20" ht="30" customHeight="1">
      <c r="B20" s="50" t="n"/>
      <c r="C20" s="64" t="inlineStr">
        <is>
          <t>Total de Proteína (Kg) / Dias estimados</t>
        </is>
      </c>
      <c r="D20" s="129" t="n"/>
      <c r="E20" s="129" t="n"/>
      <c r="F20" s="129" t="n"/>
      <c r="G20" s="129" t="n"/>
      <c r="H20" s="129" t="n"/>
      <c r="I20" s="129" t="n"/>
      <c r="J20" s="26" t="n"/>
      <c r="K20" s="129" t="n"/>
      <c r="L20" s="129" t="n"/>
      <c r="M20" s="129" t="n"/>
      <c r="N20" s="129" t="n"/>
      <c r="O20" s="129" t="n"/>
      <c r="P20" s="130" t="n"/>
      <c r="Q20" s="39" t="inlineStr">
        <is>
          <t>Próximo Porto / Unidade
Next Port / Unit</t>
        </is>
      </c>
      <c r="R20" s="129" t="n"/>
      <c r="S20" s="129" t="n"/>
      <c r="T20" s="129" t="n"/>
      <c r="U20" s="129" t="n"/>
      <c r="V20" s="129" t="n"/>
      <c r="W20" s="130" t="n"/>
      <c r="X20" s="26" t="n"/>
      <c r="Y20" s="129" t="n"/>
      <c r="Z20" s="129" t="n"/>
      <c r="AA20" s="129" t="n"/>
      <c r="AB20" s="129" t="n"/>
      <c r="AC20" s="129" t="n"/>
      <c r="AD20" s="129" t="n"/>
      <c r="AE20" s="130" t="n"/>
      <c r="AF20" s="39" t="inlineStr">
        <is>
          <t>ETA</t>
        </is>
      </c>
      <c r="AG20" s="130" t="n"/>
      <c r="AH20" s="139" t="n"/>
      <c r="AI20" s="129" t="n"/>
      <c r="AJ20" s="129" t="n"/>
      <c r="AK20" s="129" t="n"/>
      <c r="AL20" s="129" t="n"/>
      <c r="AM20" s="129" t="n"/>
      <c r="AN20" s="130" t="n"/>
      <c r="AO20" s="4" t="n"/>
    </row>
    <row r="21" ht="33.6" customHeight="1">
      <c r="B21" s="2" t="n"/>
      <c r="C21" s="64" t="inlineStr">
        <is>
          <t>Distância a Navegar entre Portos / Unidades (Mn)
Distance to Navigate between Ports / Units (Nm)</t>
        </is>
      </c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9" t="n"/>
      <c r="P21" s="136" t="n"/>
      <c r="Q21" s="130" t="n"/>
      <c r="R21" s="39" t="inlineStr">
        <is>
          <t>Distância Coberta Desde Saída do Porto (Mn)
Distance Covered Since Leaving Port  (Nm)</t>
        </is>
      </c>
      <c r="S21" s="129" t="n"/>
      <c r="T21" s="129" t="n"/>
      <c r="U21" s="129" t="n"/>
      <c r="V21" s="129" t="n"/>
      <c r="W21" s="129" t="n"/>
      <c r="X21" s="129" t="n"/>
      <c r="Y21" s="129" t="n"/>
      <c r="Z21" s="129" t="n"/>
      <c r="AA21" s="129" t="n"/>
      <c r="AB21" s="129" t="n"/>
      <c r="AC21" s="129" t="n"/>
      <c r="AD21" s="130" t="n"/>
      <c r="AE21" s="136" t="n"/>
      <c r="AF21" s="130" t="n"/>
      <c r="AG21" s="140" t="inlineStr">
        <is>
          <t>Veloc. Atual (Nós)
Actual Speed (Knots)</t>
        </is>
      </c>
      <c r="AH21" s="129" t="n"/>
      <c r="AI21" s="129" t="n"/>
      <c r="AJ21" s="129" t="n"/>
      <c r="AK21" s="129" t="n"/>
      <c r="AL21" s="130" t="n"/>
      <c r="AM21" s="141" t="n"/>
      <c r="AN21" s="130" t="n"/>
      <c r="AO21" s="10" t="n"/>
    </row>
    <row r="22" ht="49.9" customHeight="1">
      <c r="B22" s="2" t="n"/>
      <c r="C22" s="64" t="inlineStr">
        <is>
          <t>Curso Atual
Actual Heading</t>
        </is>
      </c>
      <c r="D22" s="129" t="n"/>
      <c r="E22" s="129" t="n"/>
      <c r="F22" s="129" t="n"/>
      <c r="G22" s="129" t="n"/>
      <c r="H22" s="56" t="n"/>
      <c r="I22" s="129" t="n"/>
      <c r="J22" s="129" t="n"/>
      <c r="K22" s="130" t="n"/>
      <c r="L22" s="39" t="inlineStr">
        <is>
          <t>Horas do Dia em Contrato
Hours of the Day On Hire</t>
        </is>
      </c>
      <c r="M22" s="129" t="n"/>
      <c r="N22" s="129" t="n"/>
      <c r="O22" s="129" t="n"/>
      <c r="P22" s="129" t="n"/>
      <c r="Q22" s="129" t="n"/>
      <c r="R22" s="130" t="n"/>
      <c r="S22" s="55" t="n"/>
      <c r="T22" s="130" t="n"/>
      <c r="U22" s="64" t="inlineStr">
        <is>
          <t>Duração do Rancho (dias)
Provision duration (days)</t>
        </is>
      </c>
      <c r="V22" s="129" t="n"/>
      <c r="W22" s="129" t="n"/>
      <c r="X22" s="129" t="n"/>
      <c r="Y22" s="129" t="n"/>
      <c r="Z22" s="129" t="n"/>
      <c r="AA22" s="129" t="n"/>
      <c r="AB22" s="129" t="n"/>
      <c r="AC22" s="30" t="n"/>
      <c r="AD22" s="129" t="n"/>
      <c r="AE22" s="142" t="inlineStr">
        <is>
          <t>Resíduos Totais Gerados (M3)
Total of Waste Generated (M3)</t>
        </is>
      </c>
      <c r="AF22" s="129" t="n"/>
      <c r="AG22" s="129" t="n"/>
      <c r="AH22" s="129" t="n"/>
      <c r="AI22" s="129" t="n"/>
      <c r="AJ22" s="129" t="n"/>
      <c r="AK22" s="129" t="n"/>
      <c r="AL22" s="130" t="n"/>
      <c r="AM22" s="141" t="n"/>
      <c r="AN22" s="130" t="n"/>
      <c r="AO22" s="10" t="n"/>
      <c r="AR22" s="19" t="n"/>
    </row>
    <row r="23" ht="35.45" customHeight="1">
      <c r="B23" s="2" t="n"/>
      <c r="C23" s="39" t="inlineStr">
        <is>
          <t>Tripulantes a Bordo
Crew Onboard</t>
        </is>
      </c>
      <c r="D23" s="129" t="n"/>
      <c r="E23" s="129" t="n"/>
      <c r="F23" s="129" t="n"/>
      <c r="G23" s="129" t="n"/>
      <c r="H23" s="129" t="n"/>
      <c r="I23" s="130" t="n"/>
      <c r="J23" s="55" t="n"/>
      <c r="K23" s="130" t="n"/>
      <c r="L23" s="39" t="inlineStr">
        <is>
          <t>Reps. Cliente
Client's Reps.</t>
        </is>
      </c>
      <c r="M23" s="129" t="n"/>
      <c r="N23" s="129" t="n"/>
      <c r="O23" s="129" t="n"/>
      <c r="P23" s="130" t="n"/>
      <c r="Q23" s="55" t="n"/>
      <c r="R23" s="130" t="n"/>
      <c r="S23" s="39" t="inlineStr">
        <is>
          <t>Reps. Armador
Owner's Reps.</t>
        </is>
      </c>
      <c r="T23" s="129" t="n"/>
      <c r="U23" s="129" t="n"/>
      <c r="V23" s="129" t="n"/>
      <c r="W23" s="130" t="n"/>
      <c r="X23" s="55" t="n"/>
      <c r="Y23" s="129" t="n"/>
      <c r="Z23" s="130" t="n"/>
      <c r="AA23" s="39" t="inlineStr">
        <is>
          <t>Passageiros
Passengers</t>
        </is>
      </c>
      <c r="AB23" s="129" t="n"/>
      <c r="AC23" s="129" t="n"/>
      <c r="AD23" s="129" t="n"/>
      <c r="AE23" s="130" t="n"/>
      <c r="AF23" s="55" t="n"/>
      <c r="AG23" s="130" t="n"/>
      <c r="AH23" s="39" t="inlineStr">
        <is>
          <t>Total Embarcado
Total Onboard</t>
        </is>
      </c>
      <c r="AI23" s="129" t="n"/>
      <c r="AJ23" s="129" t="n"/>
      <c r="AK23" s="129" t="n"/>
      <c r="AL23" s="130" t="n"/>
      <c r="AM23" s="101">
        <f>SUM(J23,Q23,X23,AF23)</f>
        <v/>
      </c>
      <c r="AN23" s="130" t="n"/>
      <c r="AO23" s="10" t="n"/>
      <c r="AR23" s="19">
        <f>SUM(J23,Q23,X23,AF23)</f>
        <v/>
      </c>
    </row>
    <row r="24" ht="4.5" customHeight="1">
      <c r="B24" s="7" t="n"/>
      <c r="C24" s="11" t="n"/>
      <c r="D24" s="11" t="n"/>
      <c r="E24" s="12" t="n"/>
      <c r="F24" s="12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4" t="n"/>
      <c r="AK24" s="15" t="n"/>
      <c r="AL24" s="15" t="n"/>
      <c r="AM24" s="15" t="n"/>
      <c r="AN24" s="15" t="n"/>
      <c r="AO24" s="4" t="n"/>
    </row>
    <row r="25" ht="30" customHeight="1">
      <c r="B25" s="4" t="n"/>
      <c r="C25" s="40" t="inlineStr">
        <is>
          <t>DIÁRIO DE OPERAÇÕES DE BORDO
VESSSEL'S OPERATION DAILY LOG</t>
        </is>
      </c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29" t="n"/>
      <c r="U25" s="129" t="n"/>
      <c r="V25" s="130" t="n"/>
      <c r="W25" s="16" t="n"/>
      <c r="X25" s="40" t="inlineStr">
        <is>
          <t>CONDIÇÕES METEO-OCEANOGRÁFICAS
WEATHER AND SEA CONDITIONS</t>
        </is>
      </c>
      <c r="Y25" s="129" t="n"/>
      <c r="Z25" s="129" t="n"/>
      <c r="AA25" s="129" t="n"/>
      <c r="AB25" s="129" t="n"/>
      <c r="AC25" s="129" t="n"/>
      <c r="AD25" s="129" t="n"/>
      <c r="AE25" s="129" t="n"/>
      <c r="AF25" s="129" t="n"/>
      <c r="AG25" s="129" t="n"/>
      <c r="AH25" s="129" t="n"/>
      <c r="AI25" s="129" t="n"/>
      <c r="AJ25" s="129" t="n"/>
      <c r="AK25" s="129" t="n"/>
      <c r="AL25" s="129" t="n"/>
      <c r="AM25" s="129" t="n"/>
      <c r="AN25" s="130" t="n"/>
      <c r="AO25" s="4" t="n"/>
    </row>
    <row r="26" ht="30" customHeight="1">
      <c r="A26" s="20" t="n"/>
      <c r="B26" s="21" t="n"/>
      <c r="C26" s="39" t="inlineStr">
        <is>
          <t>Hora
Hour</t>
        </is>
      </c>
      <c r="D26" s="129" t="n"/>
      <c r="E26" s="130" t="n"/>
      <c r="F26" s="63" t="inlineStr">
        <is>
          <t>Código
Code</t>
        </is>
      </c>
      <c r="G26" s="129" t="n"/>
      <c r="H26" s="130" t="n"/>
      <c r="I26" s="63" t="inlineStr">
        <is>
          <t>Descrição Resumida
Brief Description</t>
        </is>
      </c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29" t="n"/>
      <c r="U26" s="129" t="n"/>
      <c r="V26" s="130" t="n"/>
      <c r="W26" s="13" t="n"/>
      <c r="X26" s="39" t="inlineStr">
        <is>
          <t>Hora (Lt)
Time(Lt)</t>
        </is>
      </c>
      <c r="Y26" s="129" t="n"/>
      <c r="Z26" s="129" t="n"/>
      <c r="AA26" s="129" t="n"/>
      <c r="AB26" s="129" t="n"/>
      <c r="AC26" s="129" t="n"/>
      <c r="AD26" s="129" t="n"/>
      <c r="AE26" s="129" t="n"/>
      <c r="AF26" s="130" t="n"/>
      <c r="AG26" s="102" t="n">
        <v>0</v>
      </c>
      <c r="AH26" s="130" t="n"/>
      <c r="AI26" s="102" t="n">
        <v>0.25</v>
      </c>
      <c r="AJ26" s="130" t="n"/>
      <c r="AK26" s="102" t="n">
        <v>0.5</v>
      </c>
      <c r="AL26" s="130" t="n"/>
      <c r="AM26" s="102" t="n">
        <v>0.75</v>
      </c>
      <c r="AN26" s="130" t="n"/>
      <c r="AO26" s="4" t="n"/>
    </row>
    <row r="27" ht="30" customHeight="1">
      <c r="B27" s="7" t="n"/>
      <c r="C27" s="70" t="n"/>
      <c r="D27" s="129" t="n"/>
      <c r="E27" s="130" t="n"/>
      <c r="F27" s="43" t="n"/>
      <c r="G27" s="129" t="n"/>
      <c r="H27" s="130" t="n"/>
      <c r="I27" s="43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29" t="n"/>
      <c r="U27" s="129" t="n"/>
      <c r="V27" s="130" t="n"/>
      <c r="W27" s="13" t="n"/>
      <c r="X27" s="39" t="inlineStr">
        <is>
          <t>Vento (Nós)
Wind (Knots)</t>
        </is>
      </c>
      <c r="Y27" s="129" t="n"/>
      <c r="Z27" s="129" t="n"/>
      <c r="AA27" s="129" t="n"/>
      <c r="AB27" s="129" t="n"/>
      <c r="AC27" s="129" t="n"/>
      <c r="AD27" s="129" t="n"/>
      <c r="AE27" s="129" t="n"/>
      <c r="AF27" s="130" t="n"/>
      <c r="AG27" s="26" t="n"/>
      <c r="AH27" s="130" t="n"/>
      <c r="AI27" s="26" t="n"/>
      <c r="AJ27" s="130" t="n"/>
      <c r="AK27" s="26" t="n"/>
      <c r="AL27" s="130" t="n"/>
      <c r="AM27" s="26" t="n"/>
      <c r="AN27" s="130" t="n"/>
      <c r="AO27" s="4" t="n"/>
    </row>
    <row r="28" ht="30" customHeight="1">
      <c r="B28" s="7" t="n"/>
      <c r="C28" s="43" t="n"/>
      <c r="D28" s="129" t="n"/>
      <c r="E28" s="130" t="n"/>
      <c r="F28" s="43" t="n"/>
      <c r="G28" s="129" t="n"/>
      <c r="H28" s="130" t="n"/>
      <c r="I28" s="43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29" t="n"/>
      <c r="U28" s="129" t="n"/>
      <c r="V28" s="130" t="n"/>
      <c r="W28" s="13" t="n"/>
      <c r="X28" s="39" t="inlineStr">
        <is>
          <t>Vento (Direção)
Wind (Deg)</t>
        </is>
      </c>
      <c r="Y28" s="129" t="n"/>
      <c r="Z28" s="129" t="n"/>
      <c r="AA28" s="129" t="n"/>
      <c r="AB28" s="129" t="n"/>
      <c r="AC28" s="129" t="n"/>
      <c r="AD28" s="129" t="n"/>
      <c r="AE28" s="129" t="n"/>
      <c r="AF28" s="130" t="n"/>
      <c r="AG28" s="26" t="n"/>
      <c r="AH28" s="130" t="n"/>
      <c r="AI28" s="26" t="n"/>
      <c r="AJ28" s="130" t="n"/>
      <c r="AK28" s="103" t="n"/>
      <c r="AL28" s="130" t="n"/>
      <c r="AM28" s="26" t="n"/>
      <c r="AN28" s="130" t="n"/>
      <c r="AO28" s="4" t="n"/>
    </row>
    <row r="29" ht="30" customHeight="1">
      <c r="B29" s="7" t="n"/>
      <c r="C29" s="43" t="n"/>
      <c r="D29" s="129" t="n"/>
      <c r="E29" s="130" t="n"/>
      <c r="F29" s="43" t="n"/>
      <c r="G29" s="129" t="n"/>
      <c r="H29" s="130" t="n"/>
      <c r="I29" s="43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29" t="n"/>
      <c r="U29" s="129" t="n"/>
      <c r="V29" s="130" t="n"/>
      <c r="W29" s="13" t="n"/>
      <c r="X29" s="39" t="inlineStr">
        <is>
          <t>Ondas (Mts)
Waves (Mts)</t>
        </is>
      </c>
      <c r="Y29" s="129" t="n"/>
      <c r="Z29" s="129" t="n"/>
      <c r="AA29" s="129" t="n"/>
      <c r="AB29" s="129" t="n"/>
      <c r="AC29" s="129" t="n"/>
      <c r="AD29" s="129" t="n"/>
      <c r="AE29" s="129" t="n"/>
      <c r="AF29" s="130" t="n"/>
      <c r="AG29" s="26" t="n"/>
      <c r="AH29" s="130" t="n"/>
      <c r="AI29" s="26" t="n"/>
      <c r="AJ29" s="130" t="n"/>
      <c r="AK29" s="26" t="n"/>
      <c r="AL29" s="130" t="n"/>
      <c r="AM29" s="26" t="n"/>
      <c r="AN29" s="130" t="n"/>
      <c r="AO29" s="4" t="n"/>
    </row>
    <row r="30" ht="30" customHeight="1">
      <c r="B30" s="7" t="n"/>
      <c r="C30" s="43" t="n"/>
      <c r="D30" s="129" t="n"/>
      <c r="E30" s="130" t="n"/>
      <c r="F30" s="43" t="n"/>
      <c r="G30" s="129" t="n"/>
      <c r="H30" s="130" t="n"/>
      <c r="I30" s="43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29" t="n"/>
      <c r="U30" s="129" t="n"/>
      <c r="V30" s="130" t="n"/>
      <c r="W30" s="13" t="n"/>
      <c r="X30" s="39" t="inlineStr">
        <is>
          <t>Força do Mar
Sea State</t>
        </is>
      </c>
      <c r="Y30" s="129" t="n"/>
      <c r="Z30" s="129" t="n"/>
      <c r="AA30" s="129" t="n"/>
      <c r="AB30" s="129" t="n"/>
      <c r="AC30" s="129" t="n"/>
      <c r="AD30" s="129" t="n"/>
      <c r="AE30" s="129" t="n"/>
      <c r="AF30" s="130" t="n"/>
      <c r="AG30" s="26" t="n"/>
      <c r="AH30" s="130" t="n"/>
      <c r="AI30" s="26" t="n"/>
      <c r="AJ30" s="130" t="n"/>
      <c r="AK30" s="26" t="n"/>
      <c r="AL30" s="130" t="n"/>
      <c r="AM30" s="26" t="n"/>
      <c r="AN30" s="130" t="n"/>
      <c r="AO30" s="4" t="n"/>
    </row>
    <row r="31" ht="30" customHeight="1">
      <c r="B31" s="7" t="n"/>
      <c r="C31" s="43" t="n"/>
      <c r="D31" s="129" t="n"/>
      <c r="E31" s="130" t="n"/>
      <c r="F31" s="43" t="n"/>
      <c r="G31" s="129" t="n"/>
      <c r="H31" s="130" t="n"/>
      <c r="I31" s="43" t="n"/>
      <c r="J31" s="129" t="n"/>
      <c r="K31" s="129" t="n"/>
      <c r="L31" s="129" t="n"/>
      <c r="M31" s="129" t="n"/>
      <c r="N31" s="129" t="n"/>
      <c r="O31" s="129" t="n"/>
      <c r="P31" s="129" t="n"/>
      <c r="Q31" s="129" t="n"/>
      <c r="R31" s="129" t="n"/>
      <c r="S31" s="129" t="n"/>
      <c r="T31" s="129" t="n"/>
      <c r="U31" s="129" t="n"/>
      <c r="V31" s="130" t="n"/>
      <c r="W31" s="13" t="n"/>
      <c r="X31" s="39" t="inlineStr">
        <is>
          <t>Temperatura (ºC)
Temperature (ºC)</t>
        </is>
      </c>
      <c r="Y31" s="129" t="n"/>
      <c r="Z31" s="129" t="n"/>
      <c r="AA31" s="129" t="n"/>
      <c r="AB31" s="129" t="n"/>
      <c r="AC31" s="129" t="n"/>
      <c r="AD31" s="129" t="n"/>
      <c r="AE31" s="129" t="n"/>
      <c r="AF31" s="130" t="n"/>
      <c r="AG31" s="26" t="n"/>
      <c r="AH31" s="130" t="n"/>
      <c r="AI31" s="26" t="n"/>
      <c r="AJ31" s="130" t="n"/>
      <c r="AK31" s="26" t="n"/>
      <c r="AL31" s="130" t="n"/>
      <c r="AM31" s="26" t="n"/>
      <c r="AN31" s="130" t="n"/>
      <c r="AO31" s="4" t="n"/>
    </row>
    <row r="32" ht="30" customHeight="1">
      <c r="B32" s="7" t="n"/>
      <c r="C32" s="43" t="n"/>
      <c r="D32" s="129" t="n"/>
      <c r="E32" s="130" t="n"/>
      <c r="F32" s="43" t="n"/>
      <c r="G32" s="129" t="n"/>
      <c r="H32" s="130" t="n"/>
      <c r="I32" s="43" t="n"/>
      <c r="J32" s="129" t="n"/>
      <c r="K32" s="129" t="n"/>
      <c r="L32" s="129" t="n"/>
      <c r="M32" s="129" t="n"/>
      <c r="N32" s="129" t="n"/>
      <c r="O32" s="129" t="n"/>
      <c r="P32" s="129" t="n"/>
      <c r="Q32" s="129" t="n"/>
      <c r="R32" s="129" t="n"/>
      <c r="S32" s="129" t="n"/>
      <c r="T32" s="129" t="n"/>
      <c r="U32" s="129" t="n"/>
      <c r="V32" s="130" t="n"/>
      <c r="W32" s="13" t="n"/>
      <c r="X32" s="39" t="inlineStr">
        <is>
          <t>Visibilidade (Mn)
Visibility (Nm)</t>
        </is>
      </c>
      <c r="Y32" s="129" t="n"/>
      <c r="Z32" s="129" t="n"/>
      <c r="AA32" s="129" t="n"/>
      <c r="AB32" s="129" t="n"/>
      <c r="AC32" s="129" t="n"/>
      <c r="AD32" s="129" t="n"/>
      <c r="AE32" s="129" t="n"/>
      <c r="AF32" s="130" t="n"/>
      <c r="AG32" s="26" t="n"/>
      <c r="AH32" s="130" t="n"/>
      <c r="AI32" s="26" t="n"/>
      <c r="AJ32" s="130" t="n"/>
      <c r="AK32" s="26" t="n"/>
      <c r="AL32" s="130" t="n"/>
      <c r="AM32" s="26" t="n"/>
      <c r="AN32" s="130" t="n"/>
      <c r="AO32" s="4" t="n"/>
      <c r="AR32" s="17" t="n"/>
    </row>
    <row r="33" ht="30" customHeight="1">
      <c r="B33" s="7" t="n"/>
      <c r="C33" s="43" t="n"/>
      <c r="D33" s="129" t="n"/>
      <c r="E33" s="130" t="n"/>
      <c r="F33" s="43" t="n"/>
      <c r="G33" s="129" t="n"/>
      <c r="H33" s="130" t="n"/>
      <c r="I33" s="43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29" t="n"/>
      <c r="U33" s="129" t="n"/>
      <c r="V33" s="130" t="n"/>
      <c r="W33" s="13" t="n"/>
      <c r="X33" s="39" t="inlineStr">
        <is>
          <t>Barômetro
Barometer</t>
        </is>
      </c>
      <c r="Y33" s="129" t="n"/>
      <c r="Z33" s="129" t="n"/>
      <c r="AA33" s="129" t="n"/>
      <c r="AB33" s="129" t="n"/>
      <c r="AC33" s="129" t="n"/>
      <c r="AD33" s="129" t="n"/>
      <c r="AE33" s="129" t="n"/>
      <c r="AF33" s="130" t="n"/>
      <c r="AG33" s="26" t="n"/>
      <c r="AH33" s="130" t="n"/>
      <c r="AI33" s="26" t="n"/>
      <c r="AJ33" s="130" t="n"/>
      <c r="AK33" s="26" t="n"/>
      <c r="AL33" s="130" t="n"/>
      <c r="AM33" s="26" t="n"/>
      <c r="AN33" s="130" t="n"/>
      <c r="AO33" s="4" t="n"/>
    </row>
    <row r="34" ht="4.5" customHeight="1">
      <c r="B34" s="7" t="n"/>
      <c r="C34" s="11" t="n"/>
      <c r="D34" s="11" t="n"/>
      <c r="E34" s="12" t="n"/>
      <c r="F34" s="12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4" t="n"/>
      <c r="AK34" s="15" t="inlineStr">
        <is>
          <t> </t>
        </is>
      </c>
      <c r="AL34" s="15" t="n"/>
      <c r="AM34" s="15" t="n"/>
      <c r="AN34" s="15" t="n"/>
      <c r="AO34" s="4" t="n"/>
    </row>
    <row r="35" ht="30" customHeight="1">
      <c r="B35" s="4" t="n"/>
      <c r="C35" s="40" t="inlineStr">
        <is>
          <t>ESTOQUES DE BORDO (em M3)
VESSEL'S STOCK (in M3)</t>
        </is>
      </c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9" t="n"/>
      <c r="P35" s="129" t="n"/>
      <c r="Q35" s="129" t="n"/>
      <c r="R35" s="129" t="n"/>
      <c r="S35" s="129" t="n"/>
      <c r="T35" s="129" t="n"/>
      <c r="U35" s="129" t="n"/>
      <c r="V35" s="130" t="n"/>
      <c r="W35" s="16" t="n"/>
      <c r="X35" s="40" t="inlineStr">
        <is>
          <t>REGISTRO DE HORAS DE USO DAS MÁQUINAS
DAILY LOG OF ENGINES RUNNING HOUR</t>
        </is>
      </c>
      <c r="Y35" s="129" t="n"/>
      <c r="Z35" s="129" t="n"/>
      <c r="AA35" s="129" t="n"/>
      <c r="AB35" s="129" t="n"/>
      <c r="AC35" s="129" t="n"/>
      <c r="AD35" s="129" t="n"/>
      <c r="AE35" s="129" t="n"/>
      <c r="AF35" s="129" t="n"/>
      <c r="AG35" s="129" t="n"/>
      <c r="AH35" s="129" t="n"/>
      <c r="AI35" s="129" t="n"/>
      <c r="AJ35" s="129" t="n"/>
      <c r="AK35" s="129" t="n"/>
      <c r="AL35" s="129" t="n"/>
      <c r="AM35" s="129" t="n"/>
      <c r="AN35" s="130" t="n"/>
      <c r="AO35" s="4" t="n"/>
    </row>
    <row r="36" ht="30" customHeight="1">
      <c r="A36" s="22" t="n"/>
      <c r="B36" s="23" t="n"/>
      <c r="C36" s="44" t="inlineStr">
        <is>
          <t>Produto
Product</t>
        </is>
      </c>
      <c r="D36" s="129" t="n"/>
      <c r="E36" s="129" t="n"/>
      <c r="F36" s="129" t="n"/>
      <c r="G36" s="130" t="n"/>
      <c r="H36" s="44" t="inlineStr">
        <is>
          <t>Qtd anterior
Previous Qty</t>
        </is>
      </c>
      <c r="I36" s="129" t="n"/>
      <c r="J36" s="129" t="n"/>
      <c r="K36" s="130" t="n"/>
      <c r="L36" s="24" t="inlineStr">
        <is>
          <t>Consumido 
Consumption</t>
        </is>
      </c>
      <c r="M36" s="129" t="n"/>
      <c r="N36" s="129" t="n"/>
      <c r="O36" s="129" t="n"/>
      <c r="P36" s="24" t="inlineStr">
        <is>
          <t>Recebido
Received</t>
        </is>
      </c>
      <c r="Q36" s="129" t="n"/>
      <c r="R36" s="129" t="n"/>
      <c r="S36" s="129" t="n"/>
      <c r="T36" s="39" t="inlineStr">
        <is>
          <t>Total ROB</t>
        </is>
      </c>
      <c r="U36" s="129" t="n"/>
      <c r="V36" s="130" t="n"/>
      <c r="W36" s="13" t="n"/>
      <c r="X36" s="39" t="inlineStr">
        <is>
          <t>Máquina
Engine</t>
        </is>
      </c>
      <c r="Y36" s="129" t="n"/>
      <c r="Z36" s="129" t="n"/>
      <c r="AA36" s="129" t="n"/>
      <c r="AB36" s="129" t="n"/>
      <c r="AC36" s="130" t="n"/>
      <c r="AD36" s="39" t="inlineStr">
        <is>
          <t>Horas Diárias
Daily Hours</t>
        </is>
      </c>
      <c r="AE36" s="129" t="n"/>
      <c r="AF36" s="129" t="n"/>
      <c r="AG36" s="129" t="n"/>
      <c r="AH36" s="130" t="n"/>
      <c r="AI36" s="39" t="inlineStr">
        <is>
          <t>Horas Operando
Working Hours</t>
        </is>
      </c>
      <c r="AJ36" s="129" t="n"/>
      <c r="AK36" s="129" t="n"/>
      <c r="AL36" s="129" t="n"/>
      <c r="AM36" s="129" t="n"/>
      <c r="AN36" s="130" t="n"/>
      <c r="AO36" s="4" t="n"/>
    </row>
    <row r="37" ht="30" customHeight="1">
      <c r="B37" s="7" t="n"/>
      <c r="C37" s="43" t="inlineStr">
        <is>
          <t>VLSFO</t>
        </is>
      </c>
      <c r="D37" s="129" t="n"/>
      <c r="E37" s="129" t="n"/>
      <c r="F37" s="129" t="n"/>
      <c r="G37" s="130" t="n"/>
      <c r="H37" s="143" t="n"/>
      <c r="I37" s="129" t="n"/>
      <c r="J37" s="129" t="n"/>
      <c r="K37" s="130" t="n"/>
      <c r="L37" s="143">
        <f>H37+P37-T37</f>
        <v/>
      </c>
      <c r="M37" s="129" t="n"/>
      <c r="N37" s="129" t="n"/>
      <c r="O37" s="130" t="n"/>
      <c r="P37" s="43" t="n"/>
      <c r="Q37" s="129" t="n"/>
      <c r="R37" s="129" t="n"/>
      <c r="S37" s="130" t="n"/>
      <c r="T37" s="144" t="n"/>
      <c r="U37" s="129" t="n"/>
      <c r="V37" s="130" t="n"/>
      <c r="X37" s="26" t="inlineStr">
        <is>
          <t>MCP</t>
        </is>
      </c>
      <c r="Y37" s="129" t="n"/>
      <c r="Z37" s="129" t="n"/>
      <c r="AA37" s="129" t="n"/>
      <c r="AB37" s="129" t="n"/>
      <c r="AC37" s="130" t="n"/>
      <c r="AD37" s="26" t="n"/>
      <c r="AE37" s="129" t="n"/>
      <c r="AF37" s="129" t="n"/>
      <c r="AG37" s="129" t="n"/>
      <c r="AH37" s="130" t="n"/>
      <c r="AI37" s="26" t="n"/>
      <c r="AJ37" s="129" t="n"/>
      <c r="AK37" s="129" t="n"/>
      <c r="AL37" s="129" t="n"/>
      <c r="AM37" s="129" t="n"/>
      <c r="AN37" s="130" t="n"/>
      <c r="AO37" s="4" t="n"/>
      <c r="AR37" s="1">
        <f>(H37-L37)+P37</f>
        <v/>
      </c>
    </row>
    <row r="38" ht="30" customHeight="1">
      <c r="B38" s="7" t="n"/>
      <c r="C38" s="43" t="inlineStr">
        <is>
          <t>MGO</t>
        </is>
      </c>
      <c r="D38" s="129" t="n"/>
      <c r="E38" s="129" t="n"/>
      <c r="F38" s="129" t="n"/>
      <c r="G38" s="130" t="n"/>
      <c r="H38" s="145" t="n"/>
      <c r="I38" s="129" t="n"/>
      <c r="J38" s="129" t="n"/>
      <c r="K38" s="130" t="n"/>
      <c r="L38" s="143">
        <f>H38+P38-T38</f>
        <v/>
      </c>
      <c r="M38" s="129" t="n"/>
      <c r="N38" s="129" t="n"/>
      <c r="O38" s="130" t="n"/>
      <c r="P38" s="43" t="n"/>
      <c r="Q38" s="129" t="n"/>
      <c r="R38" s="129" t="n"/>
      <c r="S38" s="130" t="n"/>
      <c r="T38" s="144" t="n"/>
      <c r="U38" s="129" t="n"/>
      <c r="V38" s="130" t="n"/>
      <c r="X38" s="26" t="inlineStr">
        <is>
          <t>MCA 01</t>
        </is>
      </c>
      <c r="Y38" s="129" t="n"/>
      <c r="Z38" s="129" t="n"/>
      <c r="AA38" s="129" t="n"/>
      <c r="AB38" s="129" t="n"/>
      <c r="AC38" s="130" t="n"/>
      <c r="AD38" s="26" t="n"/>
      <c r="AE38" s="129" t="n"/>
      <c r="AF38" s="129" t="n"/>
      <c r="AG38" s="129" t="n"/>
      <c r="AH38" s="130" t="n"/>
      <c r="AI38" s="26" t="n"/>
      <c r="AJ38" s="129" t="n"/>
      <c r="AK38" s="129" t="n"/>
      <c r="AL38" s="129" t="n"/>
      <c r="AM38" s="129" t="n"/>
      <c r="AN38" s="130" t="n"/>
      <c r="AO38" s="4" t="n"/>
      <c r="AR38" s="1">
        <f>(H38-L38)+P38</f>
        <v/>
      </c>
    </row>
    <row r="39" ht="30" customHeight="1">
      <c r="B39" s="7" t="n"/>
      <c r="C39" s="43" t="inlineStr">
        <is>
          <t>ÁGUA</t>
        </is>
      </c>
      <c r="D39" s="129" t="n"/>
      <c r="E39" s="129" t="n"/>
      <c r="F39" s="129" t="n"/>
      <c r="G39" s="130" t="n"/>
      <c r="H39" s="145" t="n"/>
      <c r="I39" s="129" t="n"/>
      <c r="J39" s="129" t="n"/>
      <c r="K39" s="130" t="n"/>
      <c r="L39" s="143">
        <f>H39+P39-T39</f>
        <v/>
      </c>
      <c r="M39" s="129" t="n"/>
      <c r="N39" s="129" t="n"/>
      <c r="O39" s="130" t="n"/>
      <c r="P39" s="43" t="n"/>
      <c r="Q39" s="129" t="n"/>
      <c r="R39" s="129" t="n"/>
      <c r="S39" s="130" t="n"/>
      <c r="T39" s="144" t="n"/>
      <c r="U39" s="129" t="n"/>
      <c r="V39" s="130" t="n"/>
      <c r="X39" s="26" t="inlineStr">
        <is>
          <t>MCA 02</t>
        </is>
      </c>
      <c r="Y39" s="129" t="n"/>
      <c r="Z39" s="129" t="n"/>
      <c r="AA39" s="129" t="n"/>
      <c r="AB39" s="129" t="n"/>
      <c r="AC39" s="130" t="n"/>
      <c r="AD39" s="26" t="n"/>
      <c r="AE39" s="129" t="n"/>
      <c r="AF39" s="129" t="n"/>
      <c r="AG39" s="129" t="n"/>
      <c r="AH39" s="130" t="n"/>
      <c r="AI39" s="26" t="n"/>
      <c r="AJ39" s="129" t="n"/>
      <c r="AK39" s="129" t="n"/>
      <c r="AL39" s="129" t="n"/>
      <c r="AM39" s="129" t="n"/>
      <c r="AN39" s="130" t="n"/>
      <c r="AO39" s="4" t="n"/>
      <c r="AR39" s="1">
        <f>(H39-L39)+P39</f>
        <v/>
      </c>
    </row>
    <row r="40" ht="30" customHeight="1">
      <c r="B40" s="7" t="n"/>
      <c r="C40" s="146" t="n"/>
      <c r="D40" s="129" t="n"/>
      <c r="E40" s="129" t="n"/>
      <c r="F40" s="129" t="n"/>
      <c r="G40" s="130" t="n"/>
      <c r="H40" s="43" t="n"/>
      <c r="I40" s="129" t="n"/>
      <c r="J40" s="129" t="n"/>
      <c r="K40" s="130" t="n"/>
      <c r="L40" s="43" t="n"/>
      <c r="M40" s="129" t="n"/>
      <c r="N40" s="129" t="n"/>
      <c r="O40" s="130" t="n"/>
      <c r="P40" s="43" t="n"/>
      <c r="Q40" s="129" t="n"/>
      <c r="R40" s="129" t="n"/>
      <c r="S40" s="130" t="n"/>
      <c r="T40" s="63">
        <f>IF(H40="",IF(L40="",IF(P40="","",AR40),AR40),AR40)</f>
        <v/>
      </c>
      <c r="U40" s="129" t="n"/>
      <c r="V40" s="130" t="n"/>
      <c r="X40" s="26" t="inlineStr">
        <is>
          <t>MCA 03</t>
        </is>
      </c>
      <c r="Y40" s="129" t="n"/>
      <c r="Z40" s="129" t="n"/>
      <c r="AA40" s="129" t="n"/>
      <c r="AB40" s="129" t="n"/>
      <c r="AC40" s="130" t="n"/>
      <c r="AD40" s="26" t="n"/>
      <c r="AE40" s="129" t="n"/>
      <c r="AF40" s="129" t="n"/>
      <c r="AG40" s="129" t="n"/>
      <c r="AH40" s="130" t="n"/>
      <c r="AI40" s="26" t="n"/>
      <c r="AJ40" s="129" t="n"/>
      <c r="AK40" s="129" t="n"/>
      <c r="AL40" s="129" t="n"/>
      <c r="AM40" s="129" t="n"/>
      <c r="AN40" s="130" t="n"/>
      <c r="AO40" s="4" t="n"/>
      <c r="AR40" s="1">
        <f>(H40-L40)+P40</f>
        <v/>
      </c>
    </row>
    <row r="41" ht="30" customHeight="1">
      <c r="B41" s="7" t="n"/>
      <c r="C41" s="146" t="n"/>
      <c r="D41" s="129" t="n"/>
      <c r="E41" s="129" t="n"/>
      <c r="F41" s="129" t="n"/>
      <c r="G41" s="130" t="n"/>
      <c r="H41" s="43" t="n"/>
      <c r="I41" s="129" t="n"/>
      <c r="J41" s="129" t="n"/>
      <c r="K41" s="130" t="n"/>
      <c r="L41" s="43" t="n"/>
      <c r="M41" s="129" t="n"/>
      <c r="N41" s="129" t="n"/>
      <c r="O41" s="130" t="n"/>
      <c r="P41" s="43" t="n"/>
      <c r="Q41" s="129" t="n"/>
      <c r="R41" s="129" t="n"/>
      <c r="S41" s="130" t="n"/>
      <c r="T41" s="63">
        <f>IF(H41="",IF(L41="",IF(P41="","",AR41),AR41),AR41)</f>
        <v/>
      </c>
      <c r="U41" s="129" t="n"/>
      <c r="V41" s="130" t="n"/>
      <c r="X41" s="26" t="inlineStr">
        <is>
          <t>CALDEIRA</t>
        </is>
      </c>
      <c r="Y41" s="129" t="n"/>
      <c r="Z41" s="129" t="n"/>
      <c r="AA41" s="129" t="n"/>
      <c r="AB41" s="129" t="n"/>
      <c r="AC41" s="130" t="n"/>
      <c r="AD41" s="26" t="n"/>
      <c r="AE41" s="129" t="n"/>
      <c r="AF41" s="129" t="n"/>
      <c r="AG41" s="129" t="n"/>
      <c r="AH41" s="130" t="n"/>
      <c r="AI41" s="26" t="n"/>
      <c r="AJ41" s="129" t="n"/>
      <c r="AK41" s="129" t="n"/>
      <c r="AL41" s="129" t="n"/>
      <c r="AM41" s="129" t="n"/>
      <c r="AN41" s="130" t="n"/>
      <c r="AO41" s="4" t="n"/>
      <c r="AR41" s="1">
        <f>(H41-L41)+P41</f>
        <v/>
      </c>
    </row>
    <row r="42" ht="32.1" customHeight="1">
      <c r="B42" s="7" t="n"/>
      <c r="C42" s="146" t="n"/>
      <c r="D42" s="129" t="n"/>
      <c r="E42" s="129" t="n"/>
      <c r="F42" s="129" t="n"/>
      <c r="G42" s="130" t="n"/>
      <c r="H42" s="43" t="n"/>
      <c r="I42" s="129" t="n"/>
      <c r="J42" s="129" t="n"/>
      <c r="K42" s="130" t="n"/>
      <c r="L42" s="43" t="n"/>
      <c r="M42" s="129" t="n"/>
      <c r="N42" s="129" t="n"/>
      <c r="O42" s="130" t="n"/>
      <c r="P42" s="43" t="n"/>
      <c r="Q42" s="129" t="n"/>
      <c r="R42" s="129" t="n"/>
      <c r="S42" s="130" t="n"/>
      <c r="T42" s="63">
        <f>IF(H42="",IF(L42="",IF(P42="","",AR42),AR42),AR42)</f>
        <v/>
      </c>
      <c r="U42" s="129" t="n"/>
      <c r="V42" s="130" t="n"/>
      <c r="W42" s="13" t="n"/>
      <c r="X42" s="147" t="n"/>
      <c r="Y42" s="129" t="n"/>
      <c r="Z42" s="129" t="n"/>
      <c r="AA42" s="129" t="n"/>
      <c r="AB42" s="129" t="n"/>
      <c r="AC42" s="130" t="n"/>
      <c r="AD42" s="147" t="n"/>
      <c r="AE42" s="129" t="n"/>
      <c r="AF42" s="129" t="n"/>
      <c r="AG42" s="129" t="n"/>
      <c r="AH42" s="130" t="n"/>
      <c r="AI42" s="26" t="n"/>
      <c r="AJ42" s="129" t="n"/>
      <c r="AK42" s="129" t="n"/>
      <c r="AL42" s="129" t="n"/>
      <c r="AM42" s="129" t="n"/>
      <c r="AN42" s="130" t="n"/>
      <c r="AO42" s="4" t="n"/>
      <c r="AR42" s="1">
        <f>(H42-L42)+P42</f>
        <v/>
      </c>
    </row>
    <row r="43" ht="32.45" customHeight="1">
      <c r="B43" s="7" t="n"/>
      <c r="C43" s="146" t="n"/>
      <c r="D43" s="129" t="n"/>
      <c r="E43" s="129" t="n"/>
      <c r="F43" s="129" t="n"/>
      <c r="G43" s="130" t="n"/>
      <c r="H43" s="43" t="n"/>
      <c r="I43" s="129" t="n"/>
      <c r="J43" s="129" t="n"/>
      <c r="K43" s="130" t="n"/>
      <c r="L43" s="43" t="n"/>
      <c r="M43" s="129" t="n"/>
      <c r="N43" s="129" t="n"/>
      <c r="O43" s="130" t="n"/>
      <c r="P43" s="43" t="n"/>
      <c r="Q43" s="129" t="n"/>
      <c r="R43" s="129" t="n"/>
      <c r="S43" s="130" t="n"/>
      <c r="T43" s="63">
        <f>IF(H43="",IF(L43="",IF(P43="","",AR43),AR43),AR43)</f>
        <v/>
      </c>
      <c r="U43" s="129" t="n"/>
      <c r="V43" s="130" t="n"/>
      <c r="W43" s="13" t="n"/>
      <c r="X43" s="147" t="n"/>
      <c r="Y43" s="129" t="n"/>
      <c r="Z43" s="129" t="n"/>
      <c r="AA43" s="129" t="n"/>
      <c r="AB43" s="129" t="n"/>
      <c r="AC43" s="130" t="n"/>
      <c r="AD43" s="147" t="n"/>
      <c r="AE43" s="129" t="n"/>
      <c r="AF43" s="129" t="n"/>
      <c r="AG43" s="129" t="n"/>
      <c r="AH43" s="130" t="n"/>
      <c r="AI43" s="26" t="n"/>
      <c r="AJ43" s="129" t="n"/>
      <c r="AK43" s="129" t="n"/>
      <c r="AL43" s="129" t="n"/>
      <c r="AM43" s="129" t="n"/>
      <c r="AN43" s="130" t="n"/>
      <c r="AO43" s="4" t="n"/>
      <c r="AR43" s="1">
        <f>(H43-L43)+P43</f>
        <v/>
      </c>
    </row>
    <row r="44" ht="16.35" customHeight="1">
      <c r="B44" s="7" t="n"/>
      <c r="C44" s="11" t="n"/>
      <c r="D44" s="11" t="n"/>
      <c r="E44" s="12" t="n"/>
      <c r="F44" s="12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  <c r="AA44" s="13" t="n"/>
      <c r="AB44" s="13" t="n"/>
      <c r="AD44" s="13" t="n"/>
      <c r="AE44" s="13" t="n"/>
      <c r="AF44" s="14" t="n"/>
      <c r="AK44" s="15" t="n"/>
      <c r="AL44" s="15" t="n"/>
      <c r="AM44" s="15" t="n"/>
      <c r="AN44" s="15" t="n"/>
      <c r="AO44" s="4" t="n"/>
    </row>
    <row r="45" ht="30" customHeight="1">
      <c r="B45" s="7" t="n"/>
      <c r="C45" s="40" t="inlineStr">
        <is>
          <t>CAMPO PARA OBSERVAÇÕES GERAIS
FIELD FOR GENERAL COMMENTS</t>
        </is>
      </c>
      <c r="D45" s="129" t="n"/>
      <c r="E45" s="129" t="n"/>
      <c r="F45" s="129" t="n"/>
      <c r="G45" s="129" t="n"/>
      <c r="H45" s="129" t="n"/>
      <c r="I45" s="129" t="n"/>
      <c r="J45" s="129" t="n"/>
      <c r="K45" s="129" t="n"/>
      <c r="L45" s="129" t="n"/>
      <c r="M45" s="129" t="n"/>
      <c r="N45" s="129" t="n"/>
      <c r="O45" s="129" t="n"/>
      <c r="P45" s="129" t="n"/>
      <c r="Q45" s="129" t="n"/>
      <c r="R45" s="129" t="n"/>
      <c r="S45" s="129" t="n"/>
      <c r="T45" s="129" t="n"/>
      <c r="U45" s="129" t="n"/>
      <c r="V45" s="129" t="n"/>
      <c r="W45" s="129" t="n"/>
      <c r="X45" s="129" t="n"/>
      <c r="Y45" s="129" t="n"/>
      <c r="Z45" s="129" t="n"/>
      <c r="AA45" s="129" t="n"/>
      <c r="AB45" s="129" t="n"/>
      <c r="AC45" s="129" t="n"/>
      <c r="AD45" s="129" t="n"/>
      <c r="AE45" s="129" t="n"/>
      <c r="AF45" s="129" t="n"/>
      <c r="AG45" s="129" t="n"/>
      <c r="AH45" s="129" t="n"/>
      <c r="AI45" s="129" t="n"/>
      <c r="AJ45" s="129" t="n"/>
      <c r="AK45" s="129" t="n"/>
      <c r="AL45" s="129" t="n"/>
      <c r="AM45" s="129" t="n"/>
      <c r="AN45" s="130" t="n"/>
      <c r="AO45" s="4" t="n"/>
    </row>
    <row r="46" ht="30" customHeight="1">
      <c r="B46" s="7" t="n"/>
      <c r="C46" s="104" t="n"/>
      <c r="D46" s="127" t="n"/>
      <c r="E46" s="127" t="n"/>
      <c r="F46" s="127" t="n"/>
      <c r="G46" s="127" t="n"/>
      <c r="H46" s="127" t="n"/>
      <c r="I46" s="127" t="n"/>
      <c r="J46" s="127" t="n"/>
      <c r="K46" s="127" t="n"/>
      <c r="L46" s="127" t="n"/>
      <c r="M46" s="127" t="n"/>
      <c r="N46" s="127" t="n"/>
      <c r="O46" s="127" t="n"/>
      <c r="P46" s="127" t="n"/>
      <c r="Q46" s="127" t="n"/>
      <c r="R46" s="127" t="n"/>
      <c r="S46" s="127" t="n"/>
      <c r="T46" s="127" t="n"/>
      <c r="U46" s="127" t="n"/>
      <c r="V46" s="127" t="n"/>
      <c r="W46" s="127" t="n"/>
      <c r="X46" s="127" t="n"/>
      <c r="Y46" s="127" t="n"/>
      <c r="Z46" s="127" t="n"/>
      <c r="AA46" s="127" t="n"/>
      <c r="AB46" s="127" t="n"/>
      <c r="AC46" s="127" t="n"/>
      <c r="AD46" s="127" t="n"/>
      <c r="AE46" s="127" t="n"/>
      <c r="AF46" s="127" t="n"/>
      <c r="AG46" s="127" t="n"/>
      <c r="AH46" s="127" t="n"/>
      <c r="AI46" s="127" t="n"/>
      <c r="AJ46" s="127" t="n"/>
      <c r="AK46" s="127" t="n"/>
      <c r="AL46" s="127" t="n"/>
      <c r="AM46" s="127" t="n"/>
      <c r="AN46" s="128" t="n"/>
      <c r="AO46" s="4" t="n"/>
    </row>
    <row r="47" ht="30" customHeight="1">
      <c r="B47" s="7" t="n"/>
      <c r="C47" s="131" t="n"/>
      <c r="AN47" s="132" t="n"/>
      <c r="AO47" s="4" t="n"/>
    </row>
    <row r="48" ht="30" customHeight="1">
      <c r="B48" s="7" t="n"/>
      <c r="C48" s="133" t="n"/>
      <c r="D48" s="134" t="n"/>
      <c r="E48" s="134" t="n"/>
      <c r="F48" s="134" t="n"/>
      <c r="G48" s="134" t="n"/>
      <c r="H48" s="134" t="n"/>
      <c r="I48" s="134" t="n"/>
      <c r="J48" s="134" t="n"/>
      <c r="K48" s="134" t="n"/>
      <c r="L48" s="134" t="n"/>
      <c r="M48" s="134" t="n"/>
      <c r="N48" s="134" t="n"/>
      <c r="O48" s="134" t="n"/>
      <c r="P48" s="134" t="n"/>
      <c r="Q48" s="134" t="n"/>
      <c r="R48" s="134" t="n"/>
      <c r="S48" s="134" t="n"/>
      <c r="T48" s="134" t="n"/>
      <c r="U48" s="134" t="n"/>
      <c r="V48" s="134" t="n"/>
      <c r="W48" s="134" t="n"/>
      <c r="X48" s="134" t="n"/>
      <c r="Y48" s="134" t="n"/>
      <c r="Z48" s="134" t="n"/>
      <c r="AA48" s="134" t="n"/>
      <c r="AB48" s="134" t="n"/>
      <c r="AC48" s="134" t="n"/>
      <c r="AD48" s="134" t="n"/>
      <c r="AE48" s="134" t="n"/>
      <c r="AF48" s="134" t="n"/>
      <c r="AG48" s="134" t="n"/>
      <c r="AH48" s="134" t="n"/>
      <c r="AI48" s="134" t="n"/>
      <c r="AJ48" s="134" t="n"/>
      <c r="AK48" s="134" t="n"/>
      <c r="AL48" s="134" t="n"/>
      <c r="AM48" s="134" t="n"/>
      <c r="AN48" s="135" t="n"/>
      <c r="AO48" s="4" t="n"/>
    </row>
    <row r="49" ht="4.5" customHeight="1">
      <c r="B49" s="7" t="n"/>
      <c r="C49" s="11" t="n"/>
      <c r="D49" s="11" t="n"/>
      <c r="E49" s="12" t="n"/>
      <c r="F49" s="12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K49" s="15" t="n"/>
      <c r="AL49" s="15" t="n"/>
      <c r="AM49" s="15" t="n"/>
      <c r="AN49" s="15" t="n"/>
      <c r="AO49" s="4" t="n"/>
    </row>
  </sheetData>
  <mergeCells count="204">
    <mergeCell ref="C14:F15"/>
    <mergeCell ref="AM26:AN26"/>
    <mergeCell ref="X28:AF28"/>
    <mergeCell ref="I30:V30"/>
    <mergeCell ref="F33:H33"/>
    <mergeCell ref="C31:E31"/>
    <mergeCell ref="AM29:AN29"/>
    <mergeCell ref="W12:AA13"/>
    <mergeCell ref="AM23:AN23"/>
    <mergeCell ref="P42:S42"/>
    <mergeCell ref="X30:AF30"/>
    <mergeCell ref="H42:K42"/>
    <mergeCell ref="L36:O36"/>
    <mergeCell ref="G3:AD5"/>
    <mergeCell ref="AE4:AH4"/>
    <mergeCell ref="C3:F5"/>
    <mergeCell ref="X29:AF29"/>
    <mergeCell ref="AH13:AN13"/>
    <mergeCell ref="F31:H31"/>
    <mergeCell ref="AK33:AL33"/>
    <mergeCell ref="U18:W18"/>
    <mergeCell ref="AI37:AN37"/>
    <mergeCell ref="X41:AC41"/>
    <mergeCell ref="C8:AN9"/>
    <mergeCell ref="S23:W23"/>
    <mergeCell ref="AG27:AH27"/>
    <mergeCell ref="X19:AB19"/>
    <mergeCell ref="P18:T19"/>
    <mergeCell ref="AI27:AJ27"/>
    <mergeCell ref="I32:V32"/>
    <mergeCell ref="C40:G40"/>
    <mergeCell ref="AD36:AH36"/>
    <mergeCell ref="T37:V37"/>
    <mergeCell ref="H39:K39"/>
    <mergeCell ref="AK18:AN18"/>
    <mergeCell ref="X36:AC36"/>
    <mergeCell ref="T12:V13"/>
    <mergeCell ref="I33:V33"/>
    <mergeCell ref="C11:AN11"/>
    <mergeCell ref="X35:AN35"/>
    <mergeCell ref="P39:S39"/>
    <mergeCell ref="X23:Z23"/>
    <mergeCell ref="X25:AN25"/>
    <mergeCell ref="L38:O38"/>
    <mergeCell ref="R21:AD21"/>
    <mergeCell ref="J20:P20"/>
    <mergeCell ref="J23:K23"/>
    <mergeCell ref="AM33:AN33"/>
    <mergeCell ref="H37:K37"/>
    <mergeCell ref="S22:T22"/>
    <mergeCell ref="C23:I23"/>
    <mergeCell ref="X37:AC37"/>
    <mergeCell ref="AG29:AH29"/>
    <mergeCell ref="L40:O40"/>
    <mergeCell ref="AI29:AJ29"/>
    <mergeCell ref="L22:R22"/>
    <mergeCell ref="C42:G42"/>
    <mergeCell ref="P43:S43"/>
    <mergeCell ref="AI36:AN36"/>
    <mergeCell ref="AD38:AH38"/>
    <mergeCell ref="AM28:AN28"/>
    <mergeCell ref="AG31:AH31"/>
    <mergeCell ref="AE5:AH5"/>
    <mergeCell ref="C6:AN6"/>
    <mergeCell ref="AH23:AL23"/>
    <mergeCell ref="T40:V40"/>
    <mergeCell ref="AE21:AF21"/>
    <mergeCell ref="X38:AC38"/>
    <mergeCell ref="F27:H27"/>
    <mergeCell ref="Q23:R23"/>
    <mergeCell ref="C12:F13"/>
    <mergeCell ref="AH12:AN12"/>
    <mergeCell ref="C22:G22"/>
    <mergeCell ref="AI3:AN3"/>
    <mergeCell ref="X18:AB18"/>
    <mergeCell ref="C32:E32"/>
    <mergeCell ref="AG32:AH32"/>
    <mergeCell ref="H41:K41"/>
    <mergeCell ref="AI26:AJ26"/>
    <mergeCell ref="AK26:AL26"/>
    <mergeCell ref="AH14:AN14"/>
    <mergeCell ref="X31:AF31"/>
    <mergeCell ref="AM30:AN30"/>
    <mergeCell ref="AI5:AN5"/>
    <mergeCell ref="C20:I20"/>
    <mergeCell ref="AF20:AG20"/>
    <mergeCell ref="AI39:AN39"/>
    <mergeCell ref="P12:S13"/>
    <mergeCell ref="X43:AC43"/>
    <mergeCell ref="T39:V39"/>
    <mergeCell ref="C39:G39"/>
    <mergeCell ref="Q20:W20"/>
    <mergeCell ref="F29:H29"/>
    <mergeCell ref="L42:O42"/>
    <mergeCell ref="X40:AC40"/>
    <mergeCell ref="H36:K36"/>
    <mergeCell ref="C33:E33"/>
    <mergeCell ref="AI38:AN38"/>
    <mergeCell ref="T14:AA15"/>
    <mergeCell ref="P14:S15"/>
    <mergeCell ref="L39:O39"/>
    <mergeCell ref="C38:G38"/>
    <mergeCell ref="AG33:AH33"/>
    <mergeCell ref="X32:AF32"/>
    <mergeCell ref="AI33:AJ33"/>
    <mergeCell ref="G14:O15"/>
    <mergeCell ref="T42:V42"/>
    <mergeCell ref="C26:E26"/>
    <mergeCell ref="C17:AN17"/>
    <mergeCell ref="AI40:AN40"/>
    <mergeCell ref="AD37:AH37"/>
    <mergeCell ref="AA23:AE23"/>
    <mergeCell ref="AG21:AL21"/>
    <mergeCell ref="P37:S37"/>
    <mergeCell ref="U22:AB22"/>
    <mergeCell ref="AD39:AH39"/>
    <mergeCell ref="F32:H32"/>
    <mergeCell ref="F26:H26"/>
    <mergeCell ref="AI28:AJ28"/>
    <mergeCell ref="AK28:AL28"/>
    <mergeCell ref="AM22:AN22"/>
    <mergeCell ref="AI41:AN41"/>
    <mergeCell ref="I27:V27"/>
    <mergeCell ref="X42:AC42"/>
    <mergeCell ref="AI30:AJ30"/>
    <mergeCell ref="T41:V41"/>
    <mergeCell ref="AK30:AL30"/>
    <mergeCell ref="C45:AN45"/>
    <mergeCell ref="H38:K38"/>
    <mergeCell ref="H18:O19"/>
    <mergeCell ref="H43:K43"/>
    <mergeCell ref="AD40:AH40"/>
    <mergeCell ref="L23:P23"/>
    <mergeCell ref="T43:V43"/>
    <mergeCell ref="I28:V28"/>
    <mergeCell ref="P41:S41"/>
    <mergeCell ref="C28:E28"/>
    <mergeCell ref="H40:K40"/>
    <mergeCell ref="AI42:AN42"/>
    <mergeCell ref="T36:V36"/>
    <mergeCell ref="AE3:AH3"/>
    <mergeCell ref="C18:G19"/>
    <mergeCell ref="AI32:AJ32"/>
    <mergeCell ref="X20:AE20"/>
    <mergeCell ref="L43:O43"/>
    <mergeCell ref="AH20:AN20"/>
    <mergeCell ref="C30:E30"/>
    <mergeCell ref="X39:AC39"/>
    <mergeCell ref="AD41:AH41"/>
    <mergeCell ref="C46:AN48"/>
    <mergeCell ref="P36:S36"/>
    <mergeCell ref="N12:O13"/>
    <mergeCell ref="AM21:AN21"/>
    <mergeCell ref="I29:V29"/>
    <mergeCell ref="AD43:AH43"/>
    <mergeCell ref="C37:G37"/>
    <mergeCell ref="C21:O21"/>
    <mergeCell ref="F30:H30"/>
    <mergeCell ref="AK27:AL27"/>
    <mergeCell ref="AH15:AN15"/>
    <mergeCell ref="C7:AN7"/>
    <mergeCell ref="AM32:AN32"/>
    <mergeCell ref="AM27:AN27"/>
    <mergeCell ref="G12:M13"/>
    <mergeCell ref="AD42:AH42"/>
    <mergeCell ref="I31:V31"/>
    <mergeCell ref="H22:K22"/>
    <mergeCell ref="AG26:AH26"/>
    <mergeCell ref="AH19:AJ19"/>
    <mergeCell ref="AI4:AN4"/>
    <mergeCell ref="AE22:AL22"/>
    <mergeCell ref="I26:V26"/>
    <mergeCell ref="X33:AF33"/>
    <mergeCell ref="C27:E27"/>
    <mergeCell ref="P21:Q21"/>
    <mergeCell ref="F28:H28"/>
    <mergeCell ref="C35:V35"/>
    <mergeCell ref="C41:G41"/>
    <mergeCell ref="C25:V25"/>
    <mergeCell ref="P38:S38"/>
    <mergeCell ref="X26:AF26"/>
    <mergeCell ref="AI43:AN43"/>
    <mergeCell ref="L37:O37"/>
    <mergeCell ref="AK19:AN19"/>
    <mergeCell ref="C43:G43"/>
    <mergeCell ref="AK29:AL29"/>
    <mergeCell ref="U19:W19"/>
    <mergeCell ref="P40:S40"/>
    <mergeCell ref="AG28:AH28"/>
    <mergeCell ref="C36:G36"/>
    <mergeCell ref="X27:AF27"/>
    <mergeCell ref="AI31:AJ31"/>
    <mergeCell ref="AC22:AD22"/>
    <mergeCell ref="AK31:AL31"/>
    <mergeCell ref="AF23:AG23"/>
    <mergeCell ref="AM31:AN31"/>
    <mergeCell ref="T38:V38"/>
    <mergeCell ref="AB12:AG15"/>
    <mergeCell ref="AG30:AH30"/>
    <mergeCell ref="AH18:AJ18"/>
    <mergeCell ref="AC18:AG19"/>
    <mergeCell ref="C29:E29"/>
    <mergeCell ref="AK32:AL32"/>
    <mergeCell ref="L41:O41"/>
  </mergeCells>
  <printOptions horizontalCentered="1"/>
  <pageMargins left="0.3937007874015748" right="0.3937007874015748" top="0.3937007874015748" bottom="0.3937007874015748" header="0.1181102362204725" footer="0.1181102362204725"/>
  <pageSetup orientation="portrait" paperSize="9" scale="69"/>
  <headerFooter>
    <oddHeader>&amp;C&amp;G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 Navarro Ikonomopoulos</dc:creator>
  <dcterms:created xsi:type="dcterms:W3CDTF">2012-05-30T02:24:41Z</dcterms:created>
  <dcterms:modified xsi:type="dcterms:W3CDTF">2026-10-05T14:03:20Z</dcterms:modified>
  <cp:lastModifiedBy>Amazon Pathfinder | Bridge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0x01010091BD23C37196854789C283114BE4C457</vt:lpwstr>
  </property>
  <property name="Order" fmtid="{D5CDD505-2E9C-101B-9397-08002B2CF9AE}" pid="3">
    <vt:r8>4657800</vt:r8>
  </property>
  <property name="_dlc_DocIdItemGuid" fmtid="{D5CDD505-2E9C-101B-9397-08002B2CF9AE}" pid="4">
    <vt:lpwstr>a888a1a9-e482-441d-911c-566c93e45162</vt:lpwstr>
  </property>
  <property name="MediaServiceImageTags" fmtid="{D5CDD505-2E9C-101B-9397-08002B2CF9AE}" pid="5">
    <vt:lpwstr/>
  </property>
  <property name="MSIP_Label_c890abc0-f9c1-4cc0-aeee-e883fb1fd8fa_Enabled" fmtid="{D5CDD505-2E9C-101B-9397-08002B2CF9AE}" pid="6">
    <vt:lpwstr>true</vt:lpwstr>
  </property>
  <property name="MSIP_Label_c890abc0-f9c1-4cc0-aeee-e883fb1fd8fa_SetDate" fmtid="{D5CDD505-2E9C-101B-9397-08002B2CF9AE}" pid="7">
    <vt:lpwstr>2024-06-21T23:18:37Z</vt:lpwstr>
  </property>
  <property name="MSIP_Label_c890abc0-f9c1-4cc0-aeee-e883fb1fd8fa_Method" fmtid="{D5CDD505-2E9C-101B-9397-08002B2CF9AE}" pid="8">
    <vt:lpwstr>Standard</vt:lpwstr>
  </property>
  <property name="MSIP_Label_c890abc0-f9c1-4cc0-aeee-e883fb1fd8fa_Name" fmtid="{D5CDD505-2E9C-101B-9397-08002B2CF9AE}" pid="9">
    <vt:lpwstr>Público</vt:lpwstr>
  </property>
  <property name="MSIP_Label_c890abc0-f9c1-4cc0-aeee-e883fb1fd8fa_SiteId" fmtid="{D5CDD505-2E9C-101B-9397-08002B2CF9AE}" pid="10">
    <vt:lpwstr>ea3098c0-18af-4f36-9687-a30a42c718e5</vt:lpwstr>
  </property>
  <property name="MSIP_Label_c890abc0-f9c1-4cc0-aeee-e883fb1fd8fa_ActionId" fmtid="{D5CDD505-2E9C-101B-9397-08002B2CF9AE}" pid="11">
    <vt:lpwstr>7f03714c-1a61-4002-b80b-af2548be93ed</vt:lpwstr>
  </property>
  <property name="MSIP_Label_c890abc0-f9c1-4cc0-aeee-e883fb1fd8fa_ContentBits" fmtid="{D5CDD505-2E9C-101B-9397-08002B2CF9AE}" pid="12">
    <vt:lpwstr>4</vt:lpwstr>
  </property>
</Properties>
</file>